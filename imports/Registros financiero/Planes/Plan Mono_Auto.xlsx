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<sst xmlns="http://schemas.openxmlformats.org/spreadsheetml/2006/main" count="83" uniqueCount="34">
  <si>
    <t>Enero - Abril</t>
  </si>
  <si>
    <t>Mayo - Junio</t>
  </si>
  <si>
    <t>Julio - Diciembre</t>
  </si>
  <si>
    <t>Bruto</t>
  </si>
  <si>
    <t>Mano</t>
  </si>
  <si>
    <t>Beneficio Antel</t>
  </si>
  <si>
    <t>Gastos fijos</t>
  </si>
  <si>
    <t>Creditel</t>
  </si>
  <si>
    <t>Celulares</t>
  </si>
  <si>
    <t>Pago despues</t>
  </si>
  <si>
    <t>Internet</t>
  </si>
  <si>
    <t>Personal</t>
  </si>
  <si>
    <t>Total</t>
  </si>
  <si>
    <t>Ahorro</t>
  </si>
  <si>
    <t>Auto</t>
  </si>
  <si>
    <t>Monopatin</t>
  </si>
  <si>
    <t>Random</t>
  </si>
  <si>
    <t>Gustos</t>
  </si>
  <si>
    <t>Familia</t>
  </si>
  <si>
    <t>Cosas</t>
  </si>
  <si>
    <t>Libres</t>
  </si>
  <si>
    <t>Compras</t>
  </si>
  <si>
    <t>Vesitdo</t>
  </si>
  <si>
    <t>Helado</t>
  </si>
  <si>
    <t>Trans Papa</t>
  </si>
  <si>
    <t>Dev mama</t>
  </si>
  <si>
    <t>Trans papa</t>
  </si>
  <si>
    <t xml:space="preserve"> </t>
  </si>
  <si>
    <t>Movimientos</t>
  </si>
  <si>
    <t>Todo descontado</t>
  </si>
  <si>
    <t>Con Bene y alim</t>
  </si>
  <si>
    <t>Tarjeta actual</t>
  </si>
  <si>
    <t>Desp de devolu</t>
  </si>
  <si>
    <t>Fijos ya pagos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</si>
</sst>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4" fillId="3" fontId="1" numFmtId="0" xfId="0" applyAlignment="1" applyBorder="1" applyFill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5" fillId="0" fontId="4" numFmtId="0" xfId="0" applyBorder="1" applyFont="1"/>
    <xf borderId="4" fillId="3" fontId="1" numFmtId="0" xfId="0" applyAlignment="1" applyBorder="1" applyFont="1">
      <alignment readingOrder="0" vertical="bottom"/>
    </xf>
    <xf borderId="5" fillId="0" fontId="4" numFmtId="0" xfId="0" applyBorder="1" applyFont="1"/>
    <xf borderId="0" fillId="0" fontId="3" numFmtId="164" xfId="0" applyAlignment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horizontal="right" readingOrder="0" vertical="bottom"/>
    </xf>
    <xf borderId="4" fillId="0" fontId="4" numFmtId="0" xfId="0" applyBorder="1" applyFont="1"/>
    <xf borderId="4" fillId="0" fontId="4" numFmtId="0" xfId="0" applyBorder="1" applyFont="1"/>
    <xf borderId="4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6" fillId="3" fontId="1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horizontal="right" vertical="bottom"/>
    </xf>
    <xf borderId="8" fillId="0" fontId="4" numFmtId="0" xfId="0" applyBorder="1" applyFont="1"/>
    <xf borderId="6" fillId="3" fontId="1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Alignment="1" applyFont="1">
      <alignment horizontal="center" readingOrder="0"/>
    </xf>
    <xf borderId="0" fillId="0" fontId="3" numFmtId="164" xfId="0" applyAlignment="1" applyFont="1" applyNumberFormat="1">
      <alignment horizontal="left" readingOrder="0" vertical="bottom"/>
    </xf>
    <xf borderId="0" fillId="0" fontId="4" numFmtId="164" xfId="0" applyFont="1" applyNumberFormat="1"/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0</v>
      </c>
      <c r="B1" s="2"/>
      <c r="C1" s="3"/>
      <c r="E1" s="4" t="s">
        <v>1</v>
      </c>
      <c r="F1" s="5"/>
      <c r="G1" s="6"/>
      <c r="I1" s="4" t="s">
        <v>2</v>
      </c>
      <c r="J1" s="5"/>
      <c r="K1" s="6"/>
    </row>
    <row r="2">
      <c r="A2" s="7"/>
      <c r="B2" s="8"/>
      <c r="C2" s="9"/>
      <c r="E2" s="10"/>
      <c r="F2" s="8"/>
      <c r="G2" s="11"/>
      <c r="I2" s="10"/>
      <c r="J2" s="8"/>
      <c r="K2" s="11"/>
    </row>
    <row r="3">
      <c r="A3" s="12" t="s">
        <v>3</v>
      </c>
      <c r="B3" s="13">
        <v>37200.0</v>
      </c>
      <c r="C3" s="14"/>
      <c r="E3" s="15" t="s">
        <v>3</v>
      </c>
      <c r="F3" s="13">
        <v>37200.0</v>
      </c>
      <c r="G3" s="16"/>
      <c r="I3" s="15" t="s">
        <v>3</v>
      </c>
      <c r="J3" s="13">
        <v>37200.0</v>
      </c>
      <c r="K3" s="16"/>
    </row>
    <row r="4">
      <c r="A4" s="12" t="s">
        <v>4</v>
      </c>
      <c r="B4" s="17">
        <v>26918.0</v>
      </c>
      <c r="C4" s="18">
        <v>3720.0</v>
      </c>
      <c r="E4" s="15" t="s">
        <v>4</v>
      </c>
      <c r="F4" s="17">
        <v>26918.0</v>
      </c>
      <c r="G4" s="19">
        <v>3720.0</v>
      </c>
      <c r="I4" s="15" t="s">
        <v>4</v>
      </c>
      <c r="J4" s="17">
        <v>26918.0</v>
      </c>
      <c r="K4" s="19">
        <v>3720.0</v>
      </c>
    </row>
    <row r="5">
      <c r="A5" s="12" t="s">
        <v>5</v>
      </c>
      <c r="B5" s="17">
        <v>1300.0</v>
      </c>
      <c r="C5" s="18"/>
      <c r="E5" s="15" t="s">
        <v>5</v>
      </c>
      <c r="F5" s="17">
        <v>1300.0</v>
      </c>
      <c r="G5" s="19"/>
      <c r="I5" s="15" t="s">
        <v>5</v>
      </c>
      <c r="J5" s="17">
        <v>1300.0</v>
      </c>
      <c r="K5" s="19"/>
    </row>
    <row r="6">
      <c r="A6" s="20"/>
      <c r="C6" s="14"/>
      <c r="E6" s="21"/>
      <c r="G6" s="11"/>
      <c r="I6" s="21"/>
      <c r="K6" s="11"/>
    </row>
    <row r="7">
      <c r="A7" s="22" t="s">
        <v>6</v>
      </c>
      <c r="C7" s="18"/>
      <c r="E7" s="23" t="s">
        <v>6</v>
      </c>
      <c r="G7" s="11"/>
      <c r="I7" s="23" t="s">
        <v>6</v>
      </c>
      <c r="K7" s="11"/>
    </row>
    <row r="8">
      <c r="A8" s="24" t="s">
        <v>7</v>
      </c>
      <c r="B8" s="17">
        <v>3196.22</v>
      </c>
      <c r="C8" s="14"/>
      <c r="E8" s="25" t="s">
        <v>7</v>
      </c>
      <c r="F8" s="17">
        <v>3196.22</v>
      </c>
      <c r="G8" s="11"/>
      <c r="I8" s="25" t="s">
        <v>8</v>
      </c>
      <c r="J8" s="13">
        <v>2000.0</v>
      </c>
      <c r="K8" s="11"/>
    </row>
    <row r="9">
      <c r="A9" s="24" t="s">
        <v>9</v>
      </c>
      <c r="B9" s="13">
        <v>2122.0</v>
      </c>
      <c r="C9" s="18">
        <v>2122.0</v>
      </c>
      <c r="E9" s="25" t="s">
        <v>8</v>
      </c>
      <c r="F9" s="13">
        <v>2000.0</v>
      </c>
      <c r="G9" s="11"/>
      <c r="I9" s="25" t="s">
        <v>10</v>
      </c>
      <c r="J9" s="17">
        <v>2261.0</v>
      </c>
      <c r="K9" s="11"/>
    </row>
    <row r="10">
      <c r="A10" s="24" t="s">
        <v>8</v>
      </c>
      <c r="B10" s="13">
        <v>2000.0</v>
      </c>
      <c r="C10" s="9"/>
      <c r="E10" s="25" t="s">
        <v>10</v>
      </c>
      <c r="F10" s="17">
        <v>2261.0</v>
      </c>
      <c r="G10" s="11"/>
      <c r="I10" s="15" t="s">
        <v>11</v>
      </c>
      <c r="J10" s="13">
        <v>570.0</v>
      </c>
      <c r="K10" s="11"/>
    </row>
    <row r="11">
      <c r="A11" s="24" t="s">
        <v>10</v>
      </c>
      <c r="B11" s="17">
        <v>2261.0</v>
      </c>
      <c r="C11" s="18">
        <v>841.0</v>
      </c>
      <c r="E11" s="15" t="s">
        <v>11</v>
      </c>
      <c r="F11" s="13">
        <v>570.0</v>
      </c>
      <c r="G11" s="11"/>
      <c r="I11" s="10"/>
      <c r="J11" s="8"/>
      <c r="K11" s="11"/>
    </row>
    <row r="12">
      <c r="A12" s="12" t="s">
        <v>11</v>
      </c>
      <c r="B12" s="13">
        <v>570.0</v>
      </c>
      <c r="C12" s="9"/>
      <c r="E12" s="10"/>
      <c r="F12" s="8"/>
      <c r="G12" s="11"/>
      <c r="I12" s="25" t="s">
        <v>12</v>
      </c>
      <c r="J12" s="13">
        <f>SUM(J8:J10)</f>
        <v>4831</v>
      </c>
      <c r="K12" s="11"/>
    </row>
    <row r="13">
      <c r="A13" s="7"/>
      <c r="B13" s="8"/>
      <c r="C13" s="9"/>
      <c r="E13" s="25" t="s">
        <v>12</v>
      </c>
      <c r="F13" s="13">
        <f>SUM(F8:F11)</f>
        <v>8027.22</v>
      </c>
      <c r="G13" s="11"/>
      <c r="I13" s="10"/>
      <c r="J13" s="8"/>
      <c r="K13" s="11"/>
    </row>
    <row r="14">
      <c r="A14" s="24" t="s">
        <v>12</v>
      </c>
      <c r="B14" s="13">
        <f>SUM(B8+B9+B10+B11+B12+C9)</f>
        <v>12271.22</v>
      </c>
      <c r="C14" s="9"/>
      <c r="E14" s="10"/>
      <c r="F14" s="8"/>
      <c r="G14" s="11"/>
      <c r="I14" s="23" t="s">
        <v>13</v>
      </c>
      <c r="K14" s="11"/>
    </row>
    <row r="15">
      <c r="A15" s="7"/>
      <c r="B15" s="8"/>
      <c r="C15" s="9"/>
      <c r="E15" s="23" t="s">
        <v>13</v>
      </c>
      <c r="G15" s="11"/>
      <c r="I15" s="25" t="s">
        <v>14</v>
      </c>
      <c r="J15" s="13">
        <v>10000.0</v>
      </c>
      <c r="K15" s="11"/>
    </row>
    <row r="16">
      <c r="A16" s="22" t="s">
        <v>13</v>
      </c>
      <c r="C16" s="9"/>
      <c r="E16" s="25" t="s">
        <v>14</v>
      </c>
      <c r="F16" s="13">
        <v>10000.0</v>
      </c>
      <c r="G16" s="11"/>
      <c r="I16" s="10"/>
      <c r="J16" s="8"/>
      <c r="K16" s="11"/>
    </row>
    <row r="17">
      <c r="A17" s="24" t="s">
        <v>15</v>
      </c>
      <c r="B17" s="13">
        <v>10000.0</v>
      </c>
      <c r="C17" s="9"/>
      <c r="E17" s="10"/>
      <c r="F17" s="8"/>
      <c r="G17" s="11"/>
      <c r="I17" s="23" t="s">
        <v>16</v>
      </c>
      <c r="K17" s="11"/>
    </row>
    <row r="18">
      <c r="A18" s="7"/>
      <c r="B18" s="8"/>
      <c r="C18" s="9"/>
      <c r="E18" s="23" t="s">
        <v>16</v>
      </c>
      <c r="G18" s="11"/>
      <c r="I18" s="25" t="s">
        <v>17</v>
      </c>
      <c r="J18" s="13">
        <v>3000.0</v>
      </c>
      <c r="K18" s="11"/>
    </row>
    <row r="19">
      <c r="A19" s="22" t="s">
        <v>16</v>
      </c>
      <c r="C19" s="9"/>
      <c r="E19" s="25" t="s">
        <v>17</v>
      </c>
      <c r="F19" s="13">
        <v>3000.0</v>
      </c>
      <c r="G19" s="11"/>
      <c r="I19" s="10"/>
      <c r="J19" s="8"/>
      <c r="K19" s="11"/>
    </row>
    <row r="20">
      <c r="A20" s="24" t="s">
        <v>17</v>
      </c>
      <c r="B20" s="13">
        <v>3000.0</v>
      </c>
      <c r="C20" s="9"/>
      <c r="E20" s="10"/>
      <c r="F20" s="8"/>
      <c r="G20" s="11"/>
      <c r="I20" s="23" t="s">
        <v>18</v>
      </c>
      <c r="K20" s="11"/>
    </row>
    <row r="21">
      <c r="A21" s="7"/>
      <c r="B21" s="8"/>
      <c r="C21" s="9"/>
      <c r="E21" s="23" t="s">
        <v>18</v>
      </c>
      <c r="G21" s="11"/>
      <c r="I21" s="25" t="s">
        <v>19</v>
      </c>
      <c r="J21" s="13">
        <v>4000.0</v>
      </c>
      <c r="K21" s="11"/>
    </row>
    <row r="22">
      <c r="A22" s="22" t="s">
        <v>18</v>
      </c>
      <c r="C22" s="9"/>
      <c r="E22" s="25" t="s">
        <v>19</v>
      </c>
      <c r="F22" s="13">
        <v>4000.0</v>
      </c>
      <c r="G22" s="11"/>
      <c r="I22" s="10"/>
      <c r="J22" s="8"/>
      <c r="K22" s="16"/>
    </row>
    <row r="23">
      <c r="A23" s="24" t="s">
        <v>19</v>
      </c>
      <c r="B23" s="13">
        <v>4000.0</v>
      </c>
      <c r="C23" s="9"/>
      <c r="E23" s="10"/>
      <c r="F23" s="8"/>
      <c r="G23" s="16"/>
      <c r="I23" s="26" t="s">
        <v>20</v>
      </c>
      <c r="J23" s="27">
        <f>SUM(J4-J12-J15+K4+J5)</f>
        <v>17107</v>
      </c>
      <c r="K23" s="28"/>
    </row>
    <row r="24">
      <c r="A24" s="7"/>
      <c r="B24" s="8"/>
      <c r="C24" s="9"/>
      <c r="E24" s="26" t="s">
        <v>20</v>
      </c>
      <c r="F24" s="27">
        <f>SUM(F4-F13-F16+G4+F5)</f>
        <v>13910.78</v>
      </c>
      <c r="G24" s="28"/>
    </row>
    <row r="25">
      <c r="A25" s="7"/>
      <c r="B25" s="8"/>
      <c r="C25" s="9"/>
    </row>
    <row r="26">
      <c r="A26" s="29" t="s">
        <v>20</v>
      </c>
      <c r="B26" s="30">
        <f>SUM(B4-B14-B17+C4+B5)</f>
        <v>9666.78</v>
      </c>
      <c r="C26" s="31"/>
    </row>
    <row r="28">
      <c r="B28" s="17"/>
      <c r="C28" s="32"/>
    </row>
    <row r="29">
      <c r="B29" s="13"/>
      <c r="C29" s="17"/>
    </row>
    <row r="30">
      <c r="B30" s="13"/>
      <c r="C30" s="13"/>
    </row>
    <row r="31">
      <c r="A31" s="1" t="s">
        <v>0</v>
      </c>
      <c r="B31" s="2"/>
      <c r="C31" s="3"/>
    </row>
    <row r="32">
      <c r="A32" s="7"/>
      <c r="B32" s="8"/>
      <c r="C32" s="9"/>
      <c r="G32" s="33">
        <v>10100.0</v>
      </c>
      <c r="H32" s="33">
        <v>5072.88</v>
      </c>
    </row>
    <row r="33">
      <c r="A33" s="12" t="s">
        <v>3</v>
      </c>
      <c r="B33" s="13">
        <v>37200.0</v>
      </c>
      <c r="C33" s="14"/>
    </row>
    <row r="34">
      <c r="A34" s="12" t="s">
        <v>4</v>
      </c>
      <c r="B34" s="17">
        <v>26918.0</v>
      </c>
      <c r="C34" s="18">
        <v>3720.0</v>
      </c>
      <c r="H34" s="34">
        <f>SUM(G32+H32)</f>
        <v>15172.88</v>
      </c>
    </row>
    <row r="35">
      <c r="A35" s="12" t="s">
        <v>5</v>
      </c>
      <c r="B35" s="17">
        <v>1300.0</v>
      </c>
      <c r="C35" s="18">
        <v>1300.0</v>
      </c>
    </row>
    <row r="36">
      <c r="A36" s="20"/>
      <c r="C36" s="14"/>
    </row>
    <row r="37">
      <c r="A37" s="22" t="s">
        <v>6</v>
      </c>
      <c r="C37" s="18"/>
      <c r="H37" s="34">
        <f>SUM(H34-D33+4000)</f>
        <v>19172.88</v>
      </c>
    </row>
    <row r="38">
      <c r="A38" s="24" t="s">
        <v>7</v>
      </c>
      <c r="B38" s="17">
        <v>3196.22</v>
      </c>
      <c r="C38" s="14"/>
      <c r="E38" s="35" t="s">
        <v>21</v>
      </c>
    </row>
    <row r="39">
      <c r="A39" s="24" t="s">
        <v>9</v>
      </c>
      <c r="B39" s="13">
        <v>2122.0</v>
      </c>
      <c r="C39" s="13">
        <v>2122.0</v>
      </c>
      <c r="E39" s="33" t="s">
        <v>22</v>
      </c>
      <c r="F39" s="33">
        <v>790.0</v>
      </c>
    </row>
    <row r="40">
      <c r="A40" s="24" t="s">
        <v>8</v>
      </c>
      <c r="B40" s="13">
        <v>2000.0</v>
      </c>
      <c r="C40" s="9"/>
      <c r="E40" s="33" t="s">
        <v>23</v>
      </c>
      <c r="F40" s="33">
        <v>649.0</v>
      </c>
    </row>
    <row r="41">
      <c r="A41" s="24" t="s">
        <v>10</v>
      </c>
      <c r="B41" s="17">
        <v>2261.0</v>
      </c>
      <c r="C41" s="18">
        <v>841.0</v>
      </c>
      <c r="E41" s="33" t="s">
        <v>24</v>
      </c>
      <c r="F41" s="33">
        <v>2000.0</v>
      </c>
    </row>
    <row r="42">
      <c r="A42" s="12" t="s">
        <v>11</v>
      </c>
      <c r="B42" s="13">
        <v>570.0</v>
      </c>
      <c r="C42" s="9"/>
      <c r="E42" s="33" t="s">
        <v>25</v>
      </c>
      <c r="F42" s="33">
        <f>SUM(4745.95-F39-F40)</f>
        <v>3306.95</v>
      </c>
    </row>
    <row r="43">
      <c r="A43" s="7"/>
      <c r="B43" s="8"/>
      <c r="C43" s="9"/>
      <c r="E43" s="36" t="s">
        <v>26</v>
      </c>
      <c r="F43" s="17">
        <v>2000.0</v>
      </c>
      <c r="H43" s="37">
        <f>SUM(C44-F51)</f>
        <v>2245.34</v>
      </c>
    </row>
    <row r="44">
      <c r="A44" s="24" t="s">
        <v>12</v>
      </c>
      <c r="B44" s="13">
        <f>SUM(B38+B39+B40+B41+B42+C39)</f>
        <v>12271.22</v>
      </c>
      <c r="C44" s="37">
        <f>SUM(B38+B39+B40)</f>
        <v>7318.22</v>
      </c>
      <c r="E44" s="33"/>
      <c r="F44" s="33" t="s">
        <v>27</v>
      </c>
    </row>
    <row r="45">
      <c r="A45" s="7"/>
      <c r="B45" s="8"/>
      <c r="C45" s="9"/>
      <c r="J45" s="37">
        <f>SUM(H43+F51)</f>
        <v>7318.22</v>
      </c>
    </row>
    <row r="46">
      <c r="A46" s="22" t="s">
        <v>13</v>
      </c>
      <c r="C46" s="9"/>
      <c r="J46" s="37">
        <f>SUM(J45+C35)</f>
        <v>8618.22</v>
      </c>
    </row>
    <row r="47">
      <c r="A47" s="24" t="s">
        <v>15</v>
      </c>
      <c r="B47" s="13">
        <v>10000.0</v>
      </c>
      <c r="C47" s="9"/>
      <c r="E47" s="38" t="s">
        <v>28</v>
      </c>
      <c r="H47" s="37">
        <f>SUM(F51-B39-B38+4000-B40+1300)</f>
        <v>3054.66</v>
      </c>
    </row>
    <row r="48">
      <c r="A48" s="7"/>
      <c r="B48" s="8"/>
      <c r="C48" s="9"/>
      <c r="E48" s="33" t="s">
        <v>29</v>
      </c>
      <c r="F48" s="37">
        <f>SUM(B34-F41+12.64-F39-F40-D33-F43-4745)</f>
        <v>16746.64</v>
      </c>
      <c r="J48" s="37">
        <f>SUM(J46-B38-B39-B40)</f>
        <v>1300</v>
      </c>
    </row>
    <row r="49">
      <c r="A49" s="22" t="s">
        <v>16</v>
      </c>
      <c r="C49" s="9"/>
      <c r="E49" s="33" t="s">
        <v>30</v>
      </c>
      <c r="F49" s="37">
        <f>SUM(F48+C34+C35+B35)</f>
        <v>23066.64</v>
      </c>
    </row>
    <row r="50">
      <c r="A50" s="24" t="s">
        <v>17</v>
      </c>
      <c r="B50" s="13"/>
      <c r="C50" s="9"/>
    </row>
    <row r="51">
      <c r="A51" s="7"/>
      <c r="B51" s="8"/>
      <c r="C51" s="9"/>
      <c r="E51" s="33" t="s">
        <v>31</v>
      </c>
      <c r="F51" s="37">
        <f>SUM(B34-B47-F41-4745.95+79.93+12.64-F43-504-385-189+8.26-B39)</f>
        <v>5072.88</v>
      </c>
      <c r="G51" s="37">
        <f>SUM(F51+4000-B38-B39-B40+1300)</f>
        <v>3054.66</v>
      </c>
      <c r="J51" s="37">
        <f>SUM(J48+C34)</f>
        <v>5020</v>
      </c>
    </row>
    <row r="52">
      <c r="A52" s="22" t="s">
        <v>18</v>
      </c>
      <c r="C52" s="9"/>
      <c r="E52" s="33" t="s">
        <v>32</v>
      </c>
      <c r="F52" s="37">
        <f>SUM(F51+4000)</f>
        <v>9072.88</v>
      </c>
    </row>
    <row r="53">
      <c r="A53" s="24" t="s">
        <v>19</v>
      </c>
      <c r="B53" s="13"/>
      <c r="C53" s="9"/>
      <c r="E53" s="33" t="s">
        <v>33</v>
      </c>
      <c r="F53" s="37">
        <f>SUM(F52-D33)</f>
        <v>9072.88</v>
      </c>
    </row>
    <row r="54">
      <c r="A54" s="7"/>
      <c r="B54" s="8"/>
      <c r="C54" s="9"/>
    </row>
    <row r="55">
      <c r="A55" s="7"/>
      <c r="B55" s="8"/>
      <c r="C55" s="9"/>
      <c r="E55" s="33" t="s">
        <v>30</v>
      </c>
      <c r="F55" s="37">
        <f>SUM(F53+C35+B35)</f>
        <v>11672.88</v>
      </c>
    </row>
    <row r="56">
      <c r="A56" s="29" t="s">
        <v>20</v>
      </c>
      <c r="B56" s="30">
        <f>SUM(B34-B44-B47-B50-B53+C34-C41+B35-F39-F40-F41+C35)</f>
        <v>6686.78</v>
      </c>
      <c r="C56" s="31"/>
    </row>
  </sheetData>
  <mergeCells count="22">
    <mergeCell ref="A1:C1"/>
    <mergeCell ref="E1:G1"/>
    <mergeCell ref="I1:K1"/>
    <mergeCell ref="A7:B7"/>
    <mergeCell ref="E7:F7"/>
    <mergeCell ref="I7:J7"/>
    <mergeCell ref="I14:J14"/>
    <mergeCell ref="A22:B22"/>
    <mergeCell ref="A31:C31"/>
    <mergeCell ref="A37:B37"/>
    <mergeCell ref="E38:F38"/>
    <mergeCell ref="A46:B46"/>
    <mergeCell ref="E47:F47"/>
    <mergeCell ref="A49:B49"/>
    <mergeCell ref="A52:B52"/>
    <mergeCell ref="E15:F15"/>
    <mergeCell ref="A16:B16"/>
    <mergeCell ref="I17:J17"/>
    <mergeCell ref="E18:F18"/>
    <mergeCell ref="A19:B19"/>
    <mergeCell ref="I20:J20"/>
    <mergeCell ref="E21:F21"/>
  </mergeCells>
  <drawing r:id="rId1"/>
</worksheet>
</file>