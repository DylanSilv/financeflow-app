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<sst xmlns="http://schemas.openxmlformats.org/spreadsheetml/2006/main" count="269" uniqueCount="97">
  <si>
    <t xml:space="preserve">Datos Generales </t>
  </si>
  <si>
    <t xml:space="preserve">Gastos Fijos </t>
  </si>
  <si>
    <t>Ahorro</t>
  </si>
  <si>
    <t>NOTAS</t>
  </si>
  <si>
    <t>Cobro</t>
  </si>
  <si>
    <t>Categorias</t>
  </si>
  <si>
    <t>Monto</t>
  </si>
  <si>
    <t>IVA</t>
  </si>
  <si>
    <t>Fecha de pago</t>
  </si>
  <si>
    <t>Estado</t>
  </si>
  <si>
    <t>Objetivo</t>
  </si>
  <si>
    <t>Fecha de ingreso</t>
  </si>
  <si>
    <t>Este mes se me terminó el préstamo de creditel</t>
  </si>
  <si>
    <t>Celular</t>
  </si>
  <si>
    <t>Pagado</t>
  </si>
  <si>
    <t>Mes anterior</t>
  </si>
  <si>
    <t>00/05/2026</t>
  </si>
  <si>
    <t>Pendiente</t>
  </si>
  <si>
    <t xml:space="preserve">Beneficio </t>
  </si>
  <si>
    <t>Creditel (Prestamo)</t>
  </si>
  <si>
    <t>Mes actual</t>
  </si>
  <si>
    <t>Itau</t>
  </si>
  <si>
    <t>Internet</t>
  </si>
  <si>
    <t>Santander</t>
  </si>
  <si>
    <t>Veterinaria</t>
  </si>
  <si>
    <t>Total</t>
  </si>
  <si>
    <t>Itau Alimentacion</t>
  </si>
  <si>
    <t>Monopatin</t>
  </si>
  <si>
    <t>Brou</t>
  </si>
  <si>
    <t>Ropa Pri</t>
  </si>
  <si>
    <t>Championes Pri</t>
  </si>
  <si>
    <t>Creditel (prestamo)</t>
  </si>
  <si>
    <t>Voy pagando:</t>
  </si>
  <si>
    <t>COMPRAS ITAU</t>
  </si>
  <si>
    <t>COMPRAS BROU</t>
  </si>
  <si>
    <t>COMPRAS ITAU ALIMENTACION</t>
  </si>
  <si>
    <t>Cosas</t>
  </si>
  <si>
    <t>Costo</t>
  </si>
  <si>
    <t xml:space="preserve">Fecha de pago </t>
  </si>
  <si>
    <t>hamburguesa y qeso</t>
  </si>
  <si>
    <t>surtido</t>
  </si>
  <si>
    <t>OSE</t>
  </si>
  <si>
    <t>galletas marias</t>
  </si>
  <si>
    <t xml:space="preserve">Dulce de leche </t>
  </si>
  <si>
    <t>carne picada</t>
  </si>
  <si>
    <t>desodorantes, Yerba y marias</t>
  </si>
  <si>
    <t>mc (trans Nico)</t>
  </si>
  <si>
    <t>Mc hospital</t>
  </si>
  <si>
    <t>aceite, hamburger y queso</t>
  </si>
  <si>
    <t>resto surtido</t>
  </si>
  <si>
    <t xml:space="preserve">alfajor </t>
  </si>
  <si>
    <t xml:space="preserve">almacén </t>
  </si>
  <si>
    <t xml:space="preserve">cerveza </t>
  </si>
  <si>
    <t>grapa</t>
  </si>
  <si>
    <t>comida Teo</t>
  </si>
  <si>
    <t xml:space="preserve">coca y cremita </t>
  </si>
  <si>
    <t>Itau Alimentación</t>
  </si>
  <si>
    <t>mc</t>
  </si>
  <si>
    <t>Una cosita dulce (famili)</t>
  </si>
  <si>
    <t>PRESTACIONES</t>
  </si>
  <si>
    <t>Resumen</t>
  </si>
  <si>
    <t>coquita</t>
  </si>
  <si>
    <t xml:space="preserve">Persona </t>
  </si>
  <si>
    <t>Motivo</t>
  </si>
  <si>
    <t xml:space="preserve">Fecha </t>
  </si>
  <si>
    <t xml:space="preserve">Total gastos </t>
  </si>
  <si>
    <t>Bowling</t>
  </si>
  <si>
    <t>Mama</t>
  </si>
  <si>
    <t>Total ahorros</t>
  </si>
  <si>
    <t xml:space="preserve">fideos </t>
  </si>
  <si>
    <t>Tarjetas</t>
  </si>
  <si>
    <t>chispas chocolate y esponjas</t>
  </si>
  <si>
    <t>Efectivo</t>
  </si>
  <si>
    <t xml:space="preserve">cervezas </t>
  </si>
  <si>
    <t>empanadas</t>
  </si>
  <si>
    <t xml:space="preserve">Disponible </t>
  </si>
  <si>
    <t>acelerador monopaton</t>
  </si>
  <si>
    <t xml:space="preserve">comida y merienda </t>
  </si>
  <si>
    <t>Pago de OSE</t>
  </si>
  <si>
    <t>monster</t>
  </si>
  <si>
    <t>asadito</t>
  </si>
  <si>
    <t>coca</t>
  </si>
  <si>
    <t>ratil salil</t>
  </si>
  <si>
    <t>transf para el bastón mama</t>
  </si>
  <si>
    <t>mc hospital</t>
  </si>
  <si>
    <t>DEVOLUCIONES</t>
  </si>
  <si>
    <t>jazz</t>
  </si>
  <si>
    <t>OSE (en efectivo)</t>
  </si>
  <si>
    <t>comida</t>
  </si>
  <si>
    <t>mama</t>
  </si>
  <si>
    <t>peluqueria</t>
  </si>
  <si>
    <t xml:space="preserve">Efectivo </t>
  </si>
  <si>
    <t>Notas</t>
  </si>
  <si>
    <t>Tenia</t>
  </si>
  <si>
    <t xml:space="preserve">efectivo grande </t>
  </si>
  <si>
    <t xml:space="preserve">boletos 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</si>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</sst>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/mm/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2" fontId="1" numFmtId="0" xfId="0" applyAlignment="1" applyBorder="1" applyFont="1">
      <alignment horizontal="center" vertical="bottom"/>
    </xf>
    <xf borderId="3" fillId="0" fontId="2" numFmtId="0" xfId="0" applyBorder="1" applyFont="1"/>
    <xf borderId="2" fillId="0" fontId="2" numFmtId="0" xfId="0" applyBorder="1" applyFont="1"/>
    <xf borderId="4" fillId="0" fontId="4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0" fontId="3" numFmtId="165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vertical="bottom"/>
    </xf>
    <xf borderId="4" fillId="0" fontId="3" numFmtId="165" xfId="0" applyAlignment="1" applyBorder="1" applyFont="1" applyNumberFormat="1">
      <alignment readingOrder="0" vertical="bottom"/>
    </xf>
    <xf borderId="4" fillId="0" fontId="3" numFmtId="0" xfId="0" applyAlignment="1" applyBorder="1" applyFont="1">
      <alignment readingOrder="0" vertical="bottom"/>
    </xf>
    <xf borderId="0" fillId="0" fontId="3" numFmtId="164" xfId="0" applyAlignment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8" fillId="0" fontId="2" numFmtId="0" xfId="0" applyBorder="1" applyFont="1"/>
    <xf borderId="9" fillId="0" fontId="2" numFmtId="0" xfId="0" applyBorder="1" applyFont="1"/>
    <xf borderId="0" fillId="0" fontId="3" numFmtId="0" xfId="0" applyAlignment="1" applyFont="1">
      <alignment readingOrder="0" vertical="bottom"/>
    </xf>
    <xf borderId="4" fillId="4" fontId="4" numFmtId="0" xfId="0" applyAlignment="1" applyBorder="1" applyFill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0" fillId="5" fontId="3" numFmtId="0" xfId="0" applyAlignment="1" applyFill="1" applyFont="1">
      <alignment vertical="bottom"/>
    </xf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6" fontId="4" numFmtId="0" xfId="0" applyAlignment="1" applyBorder="1" applyFill="1" applyFont="1">
      <alignment vertical="bottom"/>
    </xf>
    <xf borderId="4" fillId="2" fontId="4" numFmtId="164" xfId="0" applyAlignment="1" applyBorder="1" applyFont="1" applyNumberFormat="1">
      <alignment vertical="bottom"/>
    </xf>
    <xf borderId="4" fillId="2" fontId="3" numFmtId="164" xfId="0" applyAlignment="1" applyBorder="1" applyFont="1" applyNumberFormat="1">
      <alignment horizontal="right" vertical="bottom"/>
    </xf>
    <xf borderId="4" fillId="7" fontId="4" numFmtId="0" xfId="0" applyAlignment="1" applyBorder="1" applyFill="1" applyFont="1">
      <alignment vertical="bottom"/>
    </xf>
    <xf borderId="4" fillId="8" fontId="4" numFmtId="0" xfId="0" applyAlignment="1" applyBorder="1" applyFill="1" applyFont="1">
      <alignment vertical="bottom"/>
    </xf>
    <xf borderId="4" fillId="5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5" numFmtId="0" xfId="0" applyAlignment="1" applyBorder="1" applyFont="1">
      <alignment readingOrder="0"/>
    </xf>
    <xf borderId="4" fillId="3" fontId="4" numFmtId="0" xfId="0" applyAlignment="1" applyBorder="1" applyFont="1">
      <alignment vertical="bottom"/>
    </xf>
    <xf borderId="4" fillId="3" fontId="3" numFmtId="164" xfId="0" applyAlignment="1" applyBorder="1" applyFont="1" applyNumberFormat="1">
      <alignment horizontal="right" vertical="bottom"/>
    </xf>
    <xf borderId="1" fillId="4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4" fillId="5" fontId="3" numFmtId="164" xfId="0" applyAlignment="1" applyBorder="1" applyFont="1" applyNumberFormat="1">
      <alignment horizontal="right" vertical="bottom"/>
    </xf>
    <xf borderId="1" fillId="2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vertical="bottom"/>
    </xf>
    <xf borderId="4" fillId="2" fontId="3" numFmtId="164" xfId="0" applyAlignment="1" applyBorder="1" applyFont="1" applyNumberFormat="1">
      <alignment horizontal="right" vertical="bottom"/>
    </xf>
    <xf borderId="1" fillId="9" fontId="3" numFmtId="0" xfId="0" applyAlignment="1" applyBorder="1" applyFill="1" applyFont="1">
      <alignment horizontal="center" vertical="bottom"/>
    </xf>
    <xf borderId="4" fillId="0" fontId="3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 t="s">
        <v>1</v>
      </c>
      <c r="E1" s="5"/>
      <c r="F1" s="5"/>
      <c r="G1" s="5"/>
      <c r="H1" s="2"/>
      <c r="I1" s="3"/>
      <c r="J1" s="6" t="s">
        <v>2</v>
      </c>
      <c r="K1" s="7"/>
      <c r="L1" s="7"/>
      <c r="M1" s="8"/>
      <c r="N1" s="3"/>
      <c r="O1" s="4" t="s">
        <v>3</v>
      </c>
      <c r="P1" s="5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9" t="s">
        <v>4</v>
      </c>
      <c r="B2" s="10">
        <v>27903.0</v>
      </c>
      <c r="C2" s="3"/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3"/>
      <c r="J2" s="11" t="s">
        <v>10</v>
      </c>
      <c r="K2" s="11" t="s">
        <v>6</v>
      </c>
      <c r="L2" s="12" t="s">
        <v>11</v>
      </c>
      <c r="M2" s="9" t="s">
        <v>9</v>
      </c>
      <c r="N2" s="3"/>
      <c r="O2" s="13" t="s">
        <v>12</v>
      </c>
      <c r="P2" s="14"/>
      <c r="Q2" s="15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11</v>
      </c>
      <c r="B3" s="16">
        <v>46142.0</v>
      </c>
      <c r="C3" s="3"/>
      <c r="D3" s="17" t="s">
        <v>13</v>
      </c>
      <c r="E3" s="10">
        <v>2119.95</v>
      </c>
      <c r="F3" s="10">
        <v>34.75</v>
      </c>
      <c r="G3" s="18">
        <v>46146.0</v>
      </c>
      <c r="H3" s="19" t="s">
        <v>14</v>
      </c>
      <c r="I3" s="20"/>
      <c r="J3" s="21" t="s">
        <v>15</v>
      </c>
      <c r="K3" s="22">
        <v>29000.0</v>
      </c>
      <c r="L3" s="19" t="s">
        <v>16</v>
      </c>
      <c r="M3" s="17" t="s">
        <v>17</v>
      </c>
      <c r="N3" s="3"/>
      <c r="O3" s="23"/>
      <c r="Q3" s="24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18</v>
      </c>
      <c r="B4" s="10">
        <v>1300.0</v>
      </c>
      <c r="C4" s="3"/>
      <c r="D4" s="19" t="s">
        <v>19</v>
      </c>
      <c r="E4" s="25">
        <f>2154.22+63.67+387+537+35.43</f>
        <v>3177.32</v>
      </c>
      <c r="F4" s="10">
        <v>0.0</v>
      </c>
      <c r="G4" s="18">
        <v>46151.0</v>
      </c>
      <c r="H4" s="19" t="s">
        <v>14</v>
      </c>
      <c r="I4" s="3"/>
      <c r="J4" s="21" t="s">
        <v>20</v>
      </c>
      <c r="K4" s="22">
        <v>215.75</v>
      </c>
      <c r="L4" s="18">
        <v>46161.0</v>
      </c>
      <c r="M4" s="19" t="s">
        <v>14</v>
      </c>
      <c r="N4" s="3"/>
      <c r="O4" s="23"/>
      <c r="Q4" s="24"/>
      <c r="R4" s="3"/>
      <c r="S4" s="3"/>
      <c r="T4" s="3"/>
      <c r="U4" s="3"/>
      <c r="V4" s="3"/>
      <c r="W4" s="3"/>
      <c r="X4" s="3"/>
      <c r="Y4" s="3"/>
      <c r="Z4" s="3"/>
    </row>
    <row r="5">
      <c r="A5" s="26" t="s">
        <v>21</v>
      </c>
      <c r="B5" s="27">
        <v>1302.25</v>
      </c>
      <c r="C5" s="28"/>
      <c r="D5" s="17" t="s">
        <v>22</v>
      </c>
      <c r="E5" s="27">
        <v>2218.0</v>
      </c>
      <c r="F5" s="27">
        <v>36.36</v>
      </c>
      <c r="G5" s="18">
        <v>46161.0</v>
      </c>
      <c r="H5" s="19" t="s">
        <v>14</v>
      </c>
      <c r="I5" s="3"/>
      <c r="J5" s="29"/>
      <c r="K5" s="29"/>
      <c r="L5" s="30"/>
      <c r="M5" s="17"/>
      <c r="N5" s="3"/>
      <c r="O5" s="23"/>
      <c r="Q5" s="24"/>
      <c r="R5" s="3"/>
      <c r="S5" s="3"/>
      <c r="T5" s="3"/>
      <c r="U5" s="3"/>
      <c r="V5" s="3"/>
      <c r="W5" s="3"/>
      <c r="X5" s="3"/>
      <c r="Y5" s="3"/>
      <c r="Z5" s="3"/>
    </row>
    <row r="6">
      <c r="A6" s="31" t="s">
        <v>23</v>
      </c>
      <c r="B6" s="10">
        <v>0.0</v>
      </c>
      <c r="C6" s="28"/>
      <c r="D6" s="17" t="s">
        <v>24</v>
      </c>
      <c r="E6" s="27">
        <v>300.0</v>
      </c>
      <c r="F6" s="10">
        <v>11.48</v>
      </c>
      <c r="G6" s="19" t="s">
        <v>16</v>
      </c>
      <c r="H6" s="17" t="s">
        <v>17</v>
      </c>
      <c r="I6" s="3"/>
      <c r="J6" s="32" t="s">
        <v>25</v>
      </c>
      <c r="K6" s="33">
        <f>SUMIF(M3:M4,"Pagado",K3:K4)</f>
        <v>215.75</v>
      </c>
      <c r="L6" s="30"/>
      <c r="M6" s="17"/>
      <c r="N6" s="3"/>
      <c r="O6" s="23"/>
      <c r="Q6" s="24"/>
      <c r="R6" s="3"/>
      <c r="S6" s="3"/>
      <c r="T6" s="3"/>
      <c r="U6" s="3"/>
      <c r="V6" s="3"/>
      <c r="W6" s="3"/>
      <c r="X6" s="3"/>
      <c r="Y6" s="3"/>
      <c r="Z6" s="3"/>
    </row>
    <row r="7">
      <c r="A7" s="34" t="s">
        <v>26</v>
      </c>
      <c r="B7" s="10">
        <f>85.08+3856</f>
        <v>3941.08</v>
      </c>
      <c r="C7" s="28"/>
      <c r="D7" s="17" t="s">
        <v>27</v>
      </c>
      <c r="E7" s="27">
        <v>2531.5</v>
      </c>
      <c r="F7" s="10">
        <v>0.0</v>
      </c>
      <c r="G7" s="18">
        <v>46151.0</v>
      </c>
      <c r="H7" s="19" t="s">
        <v>14</v>
      </c>
      <c r="I7" s="3"/>
      <c r="J7" s="3"/>
      <c r="K7" s="3"/>
      <c r="L7" s="3"/>
      <c r="M7" s="3"/>
      <c r="N7" s="3"/>
      <c r="O7" s="23"/>
      <c r="Q7" s="24"/>
      <c r="R7" s="3"/>
      <c r="S7" s="3"/>
      <c r="T7" s="3"/>
      <c r="U7" s="3"/>
      <c r="V7" s="3"/>
      <c r="W7" s="3"/>
      <c r="X7" s="3"/>
      <c r="Y7" s="3"/>
      <c r="Z7" s="3"/>
    </row>
    <row r="8">
      <c r="A8" s="35" t="s">
        <v>28</v>
      </c>
      <c r="B8" s="10">
        <f>K6+48.69</f>
        <v>264.44</v>
      </c>
      <c r="C8" s="28"/>
      <c r="D8" s="17" t="s">
        <v>29</v>
      </c>
      <c r="E8" s="10">
        <v>866.0</v>
      </c>
      <c r="F8" s="10">
        <v>0.0</v>
      </c>
      <c r="G8" s="18">
        <v>46151.0</v>
      </c>
      <c r="H8" s="19" t="s">
        <v>14</v>
      </c>
      <c r="I8" s="3"/>
      <c r="J8" s="3"/>
      <c r="K8" s="3"/>
      <c r="L8" s="3"/>
      <c r="M8" s="3"/>
      <c r="N8" s="3"/>
      <c r="O8" s="23"/>
      <c r="Q8" s="24"/>
      <c r="R8" s="3"/>
      <c r="S8" s="3"/>
      <c r="T8" s="3"/>
      <c r="U8" s="3"/>
      <c r="V8" s="3"/>
      <c r="W8" s="3"/>
      <c r="X8" s="3"/>
      <c r="Y8" s="3"/>
      <c r="Z8" s="3"/>
    </row>
    <row r="9">
      <c r="A9" s="36"/>
      <c r="B9" s="37"/>
      <c r="C9" s="28"/>
      <c r="D9" s="17" t="s">
        <v>30</v>
      </c>
      <c r="E9" s="27">
        <v>663.33</v>
      </c>
      <c r="F9" s="10">
        <v>0.0</v>
      </c>
      <c r="G9" s="18">
        <v>46151.0</v>
      </c>
      <c r="H9" s="19" t="s">
        <v>14</v>
      </c>
      <c r="I9" s="3"/>
      <c r="J9" s="3"/>
      <c r="K9" s="3"/>
      <c r="L9" s="3"/>
      <c r="M9" s="3"/>
      <c r="N9" s="3"/>
      <c r="O9" s="38"/>
      <c r="P9" s="39"/>
      <c r="Q9" s="40"/>
      <c r="R9" s="3"/>
      <c r="S9" s="3"/>
      <c r="T9" s="3"/>
      <c r="U9" s="3"/>
      <c r="V9" s="3"/>
      <c r="W9" s="3"/>
      <c r="X9" s="3"/>
      <c r="Y9" s="3"/>
      <c r="Z9" s="3"/>
    </row>
    <row r="10">
      <c r="A10" s="36"/>
      <c r="B10" s="37"/>
      <c r="C10" s="3"/>
      <c r="D10" s="41" t="s">
        <v>31</v>
      </c>
      <c r="E10" s="27">
        <v>3413.01</v>
      </c>
      <c r="F10" s="10">
        <v>0.0</v>
      </c>
      <c r="G10" s="18">
        <v>46151.0</v>
      </c>
      <c r="H10" s="19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42" t="s">
        <v>25</v>
      </c>
      <c r="E12" s="43">
        <f>SUM(E3:E10)</f>
        <v>15289.11</v>
      </c>
      <c r="F12" s="43">
        <f>SUMIF(H3:H9,"Pagado",F3:F9)</f>
        <v>71.11</v>
      </c>
      <c r="G12" s="42" t="s">
        <v>32</v>
      </c>
      <c r="H12" s="43">
        <f>SUMIF(H3:H9,"Pagado",E3:E9)</f>
        <v>11576.1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2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20"/>
      <c r="C15" s="3"/>
      <c r="D15" s="2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4" t="s">
        <v>33</v>
      </c>
      <c r="B17" s="5"/>
      <c r="C17" s="5"/>
      <c r="D17" s="5"/>
      <c r="E17" s="2"/>
      <c r="F17" s="3"/>
      <c r="G17" s="4" t="s">
        <v>34</v>
      </c>
      <c r="H17" s="5"/>
      <c r="I17" s="5"/>
      <c r="J17" s="5"/>
      <c r="K17" s="2"/>
      <c r="L17" s="3"/>
      <c r="M17" s="45" t="s">
        <v>35</v>
      </c>
      <c r="N17" s="5"/>
      <c r="O17" s="5"/>
      <c r="P17" s="5"/>
      <c r="Q17" s="2"/>
      <c r="R17" s="3"/>
      <c r="S17" s="3"/>
      <c r="T17" s="3"/>
      <c r="U17" s="3"/>
      <c r="V17" s="3"/>
      <c r="W17" s="3"/>
      <c r="X17" s="3"/>
      <c r="Y17" s="3"/>
      <c r="Z17" s="3"/>
    </row>
    <row r="18">
      <c r="A18" s="46" t="s">
        <v>36</v>
      </c>
      <c r="B18" s="47" t="s">
        <v>37</v>
      </c>
      <c r="C18" s="46" t="s">
        <v>7</v>
      </c>
      <c r="D18" s="46" t="s">
        <v>38</v>
      </c>
      <c r="E18" s="46" t="s">
        <v>9</v>
      </c>
      <c r="F18" s="3"/>
      <c r="G18" s="46" t="s">
        <v>36</v>
      </c>
      <c r="H18" s="46" t="s">
        <v>37</v>
      </c>
      <c r="I18" s="46" t="s">
        <v>7</v>
      </c>
      <c r="J18" s="46" t="s">
        <v>38</v>
      </c>
      <c r="K18" s="46" t="s">
        <v>9</v>
      </c>
      <c r="L18" s="3"/>
      <c r="M18" s="46" t="s">
        <v>36</v>
      </c>
      <c r="N18" s="46" t="s">
        <v>37</v>
      </c>
      <c r="O18" s="46" t="s">
        <v>7</v>
      </c>
      <c r="P18" s="46" t="s">
        <v>38</v>
      </c>
      <c r="Q18" s="46" t="s">
        <v>9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19" t="s">
        <v>39</v>
      </c>
      <c r="B19" s="27">
        <v>245.0</v>
      </c>
      <c r="C19" s="10">
        <v>0.0</v>
      </c>
      <c r="D19" s="18">
        <v>46142.0</v>
      </c>
      <c r="E19" s="19" t="s">
        <v>14</v>
      </c>
      <c r="F19" s="3"/>
      <c r="G19" s="17"/>
      <c r="H19" s="10">
        <v>0.0</v>
      </c>
      <c r="I19" s="10">
        <v>0.0</v>
      </c>
      <c r="J19" s="19" t="s">
        <v>16</v>
      </c>
      <c r="K19" s="17" t="s">
        <v>17</v>
      </c>
      <c r="L19" s="3"/>
      <c r="M19" s="19" t="s">
        <v>40</v>
      </c>
      <c r="N19" s="27">
        <v>3940.0</v>
      </c>
      <c r="O19" s="27">
        <v>67.49</v>
      </c>
      <c r="P19" s="18">
        <v>46151.0</v>
      </c>
      <c r="Q19" s="17" t="s">
        <v>14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19" t="s">
        <v>41</v>
      </c>
      <c r="B20" s="27">
        <v>2355.0</v>
      </c>
      <c r="C20" s="27">
        <v>4.98</v>
      </c>
      <c r="D20" s="18">
        <v>46142.0</v>
      </c>
      <c r="E20" s="19" t="s">
        <v>14</v>
      </c>
      <c r="F20" s="3"/>
      <c r="G20" s="17"/>
      <c r="H20" s="10">
        <v>0.0</v>
      </c>
      <c r="I20" s="10">
        <v>0.0</v>
      </c>
      <c r="J20" s="19" t="s">
        <v>16</v>
      </c>
      <c r="K20" s="17" t="s">
        <v>17</v>
      </c>
      <c r="L20" s="3"/>
      <c r="M20" s="17"/>
      <c r="N20" s="10">
        <v>0.0</v>
      </c>
      <c r="O20" s="10">
        <v>0.0</v>
      </c>
      <c r="P20" s="19" t="s">
        <v>16</v>
      </c>
      <c r="Q20" s="17" t="s">
        <v>17</v>
      </c>
      <c r="R20" s="3"/>
      <c r="S20" s="3"/>
      <c r="T20" s="3"/>
      <c r="U20" s="3"/>
      <c r="V20" s="3"/>
      <c r="W20" s="3"/>
      <c r="X20" s="3"/>
      <c r="Y20" s="3"/>
      <c r="Z20" s="3"/>
    </row>
    <row r="21">
      <c r="A21" s="19" t="s">
        <v>41</v>
      </c>
      <c r="B21" s="27">
        <v>2404.0</v>
      </c>
      <c r="C21" s="27">
        <v>5.77</v>
      </c>
      <c r="D21" s="18">
        <v>46142.0</v>
      </c>
      <c r="E21" s="19" t="s">
        <v>14</v>
      </c>
      <c r="F21" s="3"/>
      <c r="G21" s="17"/>
      <c r="H21" s="10">
        <v>0.0</v>
      </c>
      <c r="I21" s="10">
        <v>0.0</v>
      </c>
      <c r="J21" s="19" t="s">
        <v>16</v>
      </c>
      <c r="K21" s="17" t="s">
        <v>17</v>
      </c>
      <c r="L21" s="3"/>
      <c r="M21" s="17"/>
      <c r="N21" s="10">
        <v>0.0</v>
      </c>
      <c r="O21" s="10">
        <v>0.0</v>
      </c>
      <c r="P21" s="19" t="s">
        <v>16</v>
      </c>
      <c r="Q21" s="17" t="s">
        <v>17</v>
      </c>
      <c r="R21" s="3"/>
      <c r="S21" s="3"/>
      <c r="T21" s="3"/>
      <c r="U21" s="3"/>
      <c r="V21" s="3"/>
      <c r="W21" s="3"/>
      <c r="X21" s="3"/>
      <c r="Y21" s="3"/>
      <c r="Z21" s="3"/>
    </row>
    <row r="22">
      <c r="A22" s="19" t="s">
        <v>42</v>
      </c>
      <c r="B22" s="27">
        <v>165.0</v>
      </c>
      <c r="C22" s="10">
        <v>0.0</v>
      </c>
      <c r="D22" s="18">
        <v>46143.0</v>
      </c>
      <c r="E22" s="19" t="s">
        <v>14</v>
      </c>
      <c r="F22" s="3"/>
      <c r="G22" s="17"/>
      <c r="H22" s="10">
        <v>0.0</v>
      </c>
      <c r="I22" s="10">
        <v>0.0</v>
      </c>
      <c r="J22" s="19" t="s">
        <v>16</v>
      </c>
      <c r="K22" s="17" t="s">
        <v>17</v>
      </c>
      <c r="L22" s="3"/>
      <c r="M22" s="17"/>
      <c r="N22" s="10">
        <v>0.0</v>
      </c>
      <c r="O22" s="10">
        <v>0.0</v>
      </c>
      <c r="P22" s="19" t="s">
        <v>16</v>
      </c>
      <c r="Q22" s="17" t="s">
        <v>17</v>
      </c>
      <c r="R22" s="3"/>
      <c r="S22" s="3"/>
      <c r="T22" s="3"/>
      <c r="U22" s="3"/>
      <c r="V22" s="3"/>
      <c r="W22" s="3"/>
      <c r="X22" s="3"/>
      <c r="Y22" s="3"/>
      <c r="Z22" s="3"/>
    </row>
    <row r="23">
      <c r="A23" s="19" t="s">
        <v>43</v>
      </c>
      <c r="B23" s="27">
        <v>110.88</v>
      </c>
      <c r="C23" s="27">
        <v>1.82</v>
      </c>
      <c r="D23" s="18">
        <v>46144.0</v>
      </c>
      <c r="E23" s="19" t="s">
        <v>14</v>
      </c>
      <c r="F23" s="3"/>
      <c r="G23" s="17"/>
      <c r="H23" s="10">
        <v>0.0</v>
      </c>
      <c r="I23" s="10">
        <v>0.0</v>
      </c>
      <c r="J23" s="19" t="s">
        <v>16</v>
      </c>
      <c r="K23" s="17" t="s">
        <v>17</v>
      </c>
      <c r="L23" s="3"/>
      <c r="M23" s="17"/>
      <c r="N23" s="10">
        <v>0.0</v>
      </c>
      <c r="O23" s="10">
        <v>0.0</v>
      </c>
      <c r="P23" s="19" t="s">
        <v>16</v>
      </c>
      <c r="Q23" s="17" t="s">
        <v>17</v>
      </c>
      <c r="R23" s="3"/>
      <c r="S23" s="3"/>
      <c r="T23" s="3"/>
      <c r="U23" s="3"/>
      <c r="V23" s="3"/>
      <c r="W23" s="3"/>
      <c r="X23" s="3"/>
      <c r="Y23" s="3"/>
      <c r="Z23" s="3"/>
    </row>
    <row r="24">
      <c r="A24" s="19" t="s">
        <v>44</v>
      </c>
      <c r="B24" s="27">
        <v>171.62</v>
      </c>
      <c r="C24" s="27">
        <v>3.12</v>
      </c>
      <c r="D24" s="18">
        <v>46144.0</v>
      </c>
      <c r="E24" s="19" t="s">
        <v>14</v>
      </c>
      <c r="F24" s="3"/>
      <c r="G24" s="17"/>
      <c r="H24" s="10">
        <v>0.0</v>
      </c>
      <c r="I24" s="10">
        <v>0.0</v>
      </c>
      <c r="J24" s="19" t="s">
        <v>16</v>
      </c>
      <c r="K24" s="17" t="s">
        <v>17</v>
      </c>
      <c r="L24" s="3"/>
      <c r="M24" s="17"/>
      <c r="N24" s="10">
        <v>0.0</v>
      </c>
      <c r="O24" s="10">
        <v>0.0</v>
      </c>
      <c r="P24" s="19" t="s">
        <v>16</v>
      </c>
      <c r="Q24" s="17" t="s">
        <v>17</v>
      </c>
      <c r="R24" s="3"/>
      <c r="S24" s="3"/>
      <c r="T24" s="3"/>
      <c r="U24" s="3"/>
      <c r="V24" s="3"/>
      <c r="W24" s="3"/>
      <c r="X24" s="3"/>
      <c r="Y24" s="3"/>
      <c r="Z24" s="3"/>
    </row>
    <row r="25">
      <c r="A25" s="19" t="s">
        <v>45</v>
      </c>
      <c r="B25" s="27">
        <v>629.0</v>
      </c>
      <c r="C25" s="27">
        <v>10.49</v>
      </c>
      <c r="D25" s="18">
        <v>46145.0</v>
      </c>
      <c r="E25" s="19" t="s">
        <v>14</v>
      </c>
      <c r="F25" s="3"/>
      <c r="G25" s="17"/>
      <c r="H25" s="10">
        <v>0.0</v>
      </c>
      <c r="I25" s="10">
        <v>0.0</v>
      </c>
      <c r="J25" s="19" t="s">
        <v>16</v>
      </c>
      <c r="K25" s="17" t="s">
        <v>17</v>
      </c>
      <c r="L25" s="3"/>
      <c r="M25" s="17"/>
      <c r="N25" s="10">
        <v>0.0</v>
      </c>
      <c r="O25" s="10">
        <v>0.0</v>
      </c>
      <c r="P25" s="19" t="s">
        <v>16</v>
      </c>
      <c r="Q25" s="17" t="s">
        <v>17</v>
      </c>
      <c r="R25" s="3"/>
      <c r="S25" s="3"/>
      <c r="T25" s="3"/>
      <c r="U25" s="3"/>
      <c r="V25" s="3"/>
      <c r="W25" s="3"/>
      <c r="X25" s="3"/>
      <c r="Y25" s="3"/>
      <c r="Z25" s="3"/>
    </row>
    <row r="26">
      <c r="A26" s="19" t="s">
        <v>46</v>
      </c>
      <c r="B26" s="27">
        <v>382.0</v>
      </c>
      <c r="C26" s="10">
        <v>0.0</v>
      </c>
      <c r="D26" s="18">
        <v>46147.0</v>
      </c>
      <c r="E26" s="19" t="s">
        <v>14</v>
      </c>
      <c r="F26" s="3"/>
      <c r="G26" s="17"/>
      <c r="H26" s="10">
        <v>0.0</v>
      </c>
      <c r="I26" s="10">
        <v>0.0</v>
      </c>
      <c r="J26" s="19" t="s">
        <v>16</v>
      </c>
      <c r="K26" s="17" t="s">
        <v>17</v>
      </c>
      <c r="L26" s="3"/>
      <c r="M26" s="17"/>
      <c r="N26" s="10">
        <v>0.0</v>
      </c>
      <c r="O26" s="10">
        <v>0.0</v>
      </c>
      <c r="P26" s="19" t="s">
        <v>16</v>
      </c>
      <c r="Q26" s="17" t="s">
        <v>17</v>
      </c>
      <c r="R26" s="3"/>
      <c r="S26" s="3"/>
      <c r="T26" s="3"/>
      <c r="U26" s="3"/>
      <c r="V26" s="3"/>
      <c r="W26" s="3"/>
      <c r="X26" s="3"/>
      <c r="Y26" s="3"/>
      <c r="Z26" s="3"/>
    </row>
    <row r="27">
      <c r="A27" s="19" t="s">
        <v>47</v>
      </c>
      <c r="B27" s="27">
        <v>747.0</v>
      </c>
      <c r="C27" s="27">
        <v>55.1</v>
      </c>
      <c r="D27" s="18">
        <v>46147.0</v>
      </c>
      <c r="E27" s="19" t="s">
        <v>14</v>
      </c>
      <c r="F27" s="3"/>
      <c r="G27" s="17"/>
      <c r="H27" s="10">
        <v>0.0</v>
      </c>
      <c r="I27" s="10">
        <v>0.0</v>
      </c>
      <c r="J27" s="19" t="s">
        <v>16</v>
      </c>
      <c r="K27" s="17" t="s">
        <v>17</v>
      </c>
      <c r="L27" s="3"/>
      <c r="M27" s="17"/>
      <c r="N27" s="10">
        <v>0.0</v>
      </c>
      <c r="O27" s="10">
        <v>0.0</v>
      </c>
      <c r="P27" s="19" t="s">
        <v>16</v>
      </c>
      <c r="Q27" s="17" t="s">
        <v>17</v>
      </c>
      <c r="R27" s="3"/>
      <c r="S27" s="3"/>
      <c r="T27" s="3"/>
      <c r="U27" s="3"/>
      <c r="V27" s="3"/>
      <c r="W27" s="3"/>
      <c r="X27" s="3"/>
      <c r="Y27" s="3"/>
      <c r="Z27" s="3"/>
    </row>
    <row r="28">
      <c r="A28" s="19" t="s">
        <v>48</v>
      </c>
      <c r="B28" s="27">
        <v>198.0</v>
      </c>
      <c r="C28" s="27">
        <v>3.4</v>
      </c>
      <c r="D28" s="18">
        <v>46149.0</v>
      </c>
      <c r="E28" s="19" t="s">
        <v>14</v>
      </c>
      <c r="F28" s="3"/>
      <c r="G28" s="17"/>
      <c r="H28" s="10">
        <v>0.0</v>
      </c>
      <c r="I28" s="10">
        <v>0.0</v>
      </c>
      <c r="J28" s="19" t="s">
        <v>16</v>
      </c>
      <c r="K28" s="17" t="s">
        <v>17</v>
      </c>
      <c r="L28" s="3"/>
      <c r="M28" s="17"/>
      <c r="N28" s="10">
        <v>0.0</v>
      </c>
      <c r="O28" s="10">
        <v>0.0</v>
      </c>
      <c r="P28" s="19" t="s">
        <v>16</v>
      </c>
      <c r="Q28" s="17" t="s">
        <v>17</v>
      </c>
      <c r="R28" s="3"/>
      <c r="S28" s="3"/>
      <c r="T28" s="3"/>
      <c r="U28" s="3"/>
      <c r="V28" s="3"/>
      <c r="W28" s="3"/>
      <c r="X28" s="3"/>
      <c r="Y28" s="3"/>
      <c r="Z28" s="3"/>
    </row>
    <row r="29">
      <c r="A29" s="19" t="s">
        <v>49</v>
      </c>
      <c r="B29" s="27">
        <v>1620.0</v>
      </c>
      <c r="C29" s="27">
        <v>27.75</v>
      </c>
      <c r="D29" s="18">
        <v>46151.0</v>
      </c>
      <c r="E29" s="19" t="s">
        <v>14</v>
      </c>
      <c r="F29" s="3"/>
      <c r="G29" s="17"/>
      <c r="H29" s="10">
        <v>0.0</v>
      </c>
      <c r="I29" s="10">
        <v>0.0</v>
      </c>
      <c r="J29" s="19" t="s">
        <v>16</v>
      </c>
      <c r="K29" s="17" t="s">
        <v>17</v>
      </c>
      <c r="L29" s="3"/>
      <c r="M29" s="17"/>
      <c r="N29" s="10">
        <v>0.0</v>
      </c>
      <c r="O29" s="10">
        <v>0.0</v>
      </c>
      <c r="P29" s="19" t="s">
        <v>16</v>
      </c>
      <c r="Q29" s="17" t="s">
        <v>17</v>
      </c>
      <c r="R29" s="3"/>
      <c r="S29" s="3"/>
      <c r="T29" s="3"/>
      <c r="U29" s="3"/>
      <c r="V29" s="3"/>
      <c r="W29" s="3"/>
      <c r="X29" s="3"/>
      <c r="Y29" s="3"/>
      <c r="Z29" s="3"/>
    </row>
    <row r="30">
      <c r="A30" s="19" t="s">
        <v>50</v>
      </c>
      <c r="B30" s="27">
        <v>53.0</v>
      </c>
      <c r="C30" s="27">
        <v>0.87</v>
      </c>
      <c r="D30" s="18">
        <v>46151.0</v>
      </c>
      <c r="E30" s="19" t="s">
        <v>14</v>
      </c>
      <c r="F30" s="3"/>
      <c r="G30" s="17"/>
      <c r="H30" s="10">
        <v>0.0</v>
      </c>
      <c r="I30" s="10">
        <v>0.0</v>
      </c>
      <c r="J30" s="19" t="s">
        <v>16</v>
      </c>
      <c r="K30" s="17" t="s">
        <v>17</v>
      </c>
      <c r="L30" s="3"/>
      <c r="M30" s="17"/>
      <c r="N30" s="10">
        <v>0.0</v>
      </c>
      <c r="O30" s="10">
        <v>0.0</v>
      </c>
      <c r="P30" s="19" t="s">
        <v>16</v>
      </c>
      <c r="Q30" s="17" t="s">
        <v>17</v>
      </c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51</v>
      </c>
      <c r="B31" s="27">
        <v>75.0</v>
      </c>
      <c r="C31" s="10">
        <v>0.0</v>
      </c>
      <c r="D31" s="18">
        <v>46151.0</v>
      </c>
      <c r="E31" s="19" t="s">
        <v>14</v>
      </c>
      <c r="F31" s="3"/>
      <c r="G31" s="17"/>
      <c r="H31" s="10">
        <v>0.0</v>
      </c>
      <c r="I31" s="10">
        <v>0.0</v>
      </c>
      <c r="J31" s="19" t="s">
        <v>16</v>
      </c>
      <c r="K31" s="17" t="s">
        <v>17</v>
      </c>
      <c r="L31" s="3"/>
      <c r="M31" s="17"/>
      <c r="N31" s="10">
        <v>0.0</v>
      </c>
      <c r="O31" s="10">
        <v>0.0</v>
      </c>
      <c r="P31" s="19" t="s">
        <v>16</v>
      </c>
      <c r="Q31" s="17" t="s">
        <v>17</v>
      </c>
      <c r="R31" s="3"/>
      <c r="S31" s="3"/>
      <c r="T31" s="3"/>
      <c r="U31" s="3"/>
      <c r="V31" s="3"/>
      <c r="W31" s="3"/>
      <c r="X31" s="3"/>
      <c r="Y31" s="3"/>
      <c r="Z31" s="3"/>
    </row>
    <row r="32">
      <c r="A32" s="19" t="s">
        <v>52</v>
      </c>
      <c r="B32" s="27">
        <v>110.0</v>
      </c>
      <c r="C32" s="27">
        <v>1.8</v>
      </c>
      <c r="D32" s="18">
        <v>46152.0</v>
      </c>
      <c r="E32" s="19" t="s">
        <v>14</v>
      </c>
      <c r="F32" s="3"/>
      <c r="G32" s="17"/>
      <c r="H32" s="17"/>
      <c r="I32" s="17"/>
      <c r="J32" s="17"/>
      <c r="K32" s="17"/>
      <c r="L32" s="3"/>
      <c r="M32" s="17"/>
      <c r="N32" s="17"/>
      <c r="O32" s="17"/>
      <c r="P32" s="17"/>
      <c r="Q32" s="17"/>
      <c r="R32" s="3"/>
      <c r="S32" s="3"/>
      <c r="T32" s="3"/>
      <c r="U32" s="3"/>
      <c r="V32" s="3"/>
      <c r="W32" s="3"/>
      <c r="X32" s="3"/>
      <c r="Y32" s="3"/>
      <c r="Z32" s="3"/>
    </row>
    <row r="33">
      <c r="A33" s="19" t="s">
        <v>53</v>
      </c>
      <c r="B33" s="27">
        <v>330.0</v>
      </c>
      <c r="C33" s="10">
        <v>0.0</v>
      </c>
      <c r="D33" s="18">
        <v>46153.0</v>
      </c>
      <c r="E33" s="19" t="s">
        <v>14</v>
      </c>
      <c r="F33" s="3"/>
      <c r="G33" s="42" t="s">
        <v>25</v>
      </c>
      <c r="H33" s="43">
        <f t="shared" ref="H33:I33" si="1">SUM(H19:H31)</f>
        <v>0</v>
      </c>
      <c r="I33" s="43">
        <f t="shared" si="1"/>
        <v>0</v>
      </c>
      <c r="J33" s="17"/>
      <c r="K33" s="17"/>
      <c r="L33" s="3"/>
      <c r="M33" s="42" t="s">
        <v>25</v>
      </c>
      <c r="N33" s="43">
        <f t="shared" ref="N33:O33" si="2">SUM(N19:N31)</f>
        <v>3940</v>
      </c>
      <c r="O33" s="43">
        <f t="shared" si="2"/>
        <v>67.49</v>
      </c>
      <c r="P33" s="17"/>
      <c r="Q33" s="17"/>
      <c r="R33" s="3"/>
      <c r="S33" s="3"/>
      <c r="T33" s="3"/>
      <c r="U33" s="3"/>
      <c r="V33" s="3"/>
      <c r="W33" s="3"/>
      <c r="X33" s="3"/>
      <c r="Y33" s="3"/>
      <c r="Z33" s="3"/>
    </row>
    <row r="34">
      <c r="A34" s="19" t="s">
        <v>54</v>
      </c>
      <c r="B34" s="27">
        <v>128.0</v>
      </c>
      <c r="C34" s="27">
        <v>2.1</v>
      </c>
      <c r="D34" s="18">
        <v>46154.0</v>
      </c>
      <c r="E34" s="19" t="s">
        <v>14</v>
      </c>
      <c r="F34" s="3"/>
      <c r="G34" s="17"/>
      <c r="H34" s="17"/>
      <c r="I34" s="17"/>
      <c r="J34" s="17"/>
      <c r="K34" s="17"/>
      <c r="L34" s="3"/>
      <c r="M34" s="17"/>
      <c r="N34" s="17"/>
      <c r="O34" s="17"/>
      <c r="P34" s="17"/>
      <c r="Q34" s="17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 t="s">
        <v>55</v>
      </c>
      <c r="B35" s="27">
        <v>139.0</v>
      </c>
      <c r="C35" s="27">
        <v>2.28</v>
      </c>
      <c r="D35" s="18">
        <v>46154.0</v>
      </c>
      <c r="E35" s="19" t="s">
        <v>14</v>
      </c>
      <c r="F35" s="3"/>
      <c r="G35" s="9" t="s">
        <v>28</v>
      </c>
      <c r="H35" s="48">
        <f>SUM(B8)
-SUMIF(K19:K31,"Pagado",H19:H31)
+SUMIF(K19:K31,"Pagado",I19:I31)</f>
        <v>264.44</v>
      </c>
      <c r="I35" s="17"/>
      <c r="J35" s="17"/>
      <c r="K35" s="17"/>
      <c r="L35" s="3"/>
      <c r="M35" s="9" t="s">
        <v>56</v>
      </c>
      <c r="N35" s="48">
        <f>SUM(B7)
-SUMIF(Q19:Q31,"Pagado",N19:N31)
+SUMIF(Q19:Q31,"Pagado",O19:O31)</f>
        <v>68.57</v>
      </c>
      <c r="O35" s="17"/>
      <c r="P35" s="17"/>
      <c r="Q35" s="17"/>
      <c r="R35" s="3"/>
      <c r="S35" s="3"/>
      <c r="T35" s="3"/>
      <c r="U35" s="3"/>
      <c r="V35" s="3"/>
      <c r="W35" s="3"/>
      <c r="X35" s="3"/>
      <c r="Y35" s="3"/>
      <c r="Z35" s="3"/>
    </row>
    <row r="36">
      <c r="A36" s="19" t="s">
        <v>57</v>
      </c>
      <c r="B36" s="27">
        <v>249.0</v>
      </c>
      <c r="C36" s="27">
        <v>18.37</v>
      </c>
      <c r="D36" s="18">
        <v>46155.0</v>
      </c>
      <c r="E36" s="19" t="s">
        <v>14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9" t="s">
        <v>57</v>
      </c>
      <c r="B37" s="27">
        <v>249.0</v>
      </c>
      <c r="C37" s="27">
        <v>18.36</v>
      </c>
      <c r="D37" s="18">
        <v>46156.0</v>
      </c>
      <c r="E37" s="19" t="s">
        <v>14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9" t="s">
        <v>58</v>
      </c>
      <c r="B38" s="27">
        <v>464.0</v>
      </c>
      <c r="C38" s="27">
        <v>7.61</v>
      </c>
      <c r="D38" s="18">
        <v>46156.0</v>
      </c>
      <c r="E38" s="19" t="s">
        <v>14</v>
      </c>
      <c r="F38" s="3"/>
      <c r="G38" s="3"/>
      <c r="H38" s="49" t="s">
        <v>59</v>
      </c>
      <c r="I38" s="5"/>
      <c r="J38" s="5"/>
      <c r="K38" s="5"/>
      <c r="L38" s="2"/>
      <c r="M38" s="3"/>
      <c r="N38" s="1" t="s">
        <v>60</v>
      </c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" t="s">
        <v>61</v>
      </c>
      <c r="B39" s="27">
        <v>75.0</v>
      </c>
      <c r="C39" s="27">
        <v>1.23</v>
      </c>
      <c r="D39" s="18">
        <v>46157.0</v>
      </c>
      <c r="E39" s="19" t="s">
        <v>14</v>
      </c>
      <c r="F39" s="3"/>
      <c r="G39" s="3"/>
      <c r="H39" s="46" t="s">
        <v>62</v>
      </c>
      <c r="I39" s="46" t="s">
        <v>6</v>
      </c>
      <c r="J39" s="46" t="s">
        <v>63</v>
      </c>
      <c r="K39" s="46" t="s">
        <v>64</v>
      </c>
      <c r="L39" s="46" t="s">
        <v>9</v>
      </c>
      <c r="M39" s="3"/>
      <c r="N39" s="9" t="s">
        <v>65</v>
      </c>
      <c r="O39" s="10">
        <f>SUM(E12+B61+H33+N33)</f>
        <v>38637.44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9" t="s">
        <v>66</v>
      </c>
      <c r="B40" s="27">
        <v>800.0</v>
      </c>
      <c r="C40" s="27">
        <v>13.11</v>
      </c>
      <c r="D40" s="18">
        <v>46158.0</v>
      </c>
      <c r="E40" s="19" t="s">
        <v>14</v>
      </c>
      <c r="F40" s="3"/>
      <c r="G40" s="3"/>
      <c r="H40" s="19" t="s">
        <v>67</v>
      </c>
      <c r="I40" s="27">
        <v>2355.0</v>
      </c>
      <c r="J40" s="19" t="s">
        <v>41</v>
      </c>
      <c r="K40" s="18">
        <v>46142.0</v>
      </c>
      <c r="L40" s="19" t="s">
        <v>14</v>
      </c>
      <c r="M40" s="3"/>
      <c r="N40" s="9" t="s">
        <v>68</v>
      </c>
      <c r="O40" s="10">
        <f>K6</f>
        <v>215.75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9" t="s">
        <v>69</v>
      </c>
      <c r="B41" s="27">
        <v>152.0</v>
      </c>
      <c r="C41" s="27">
        <v>2.76</v>
      </c>
      <c r="D41" s="18">
        <v>46159.0</v>
      </c>
      <c r="E41" s="19" t="s">
        <v>14</v>
      </c>
      <c r="F41" s="3"/>
      <c r="G41" s="3"/>
      <c r="H41" s="19" t="s">
        <v>67</v>
      </c>
      <c r="I41" s="27">
        <v>2404.0</v>
      </c>
      <c r="J41" s="19" t="s">
        <v>41</v>
      </c>
      <c r="K41" s="18">
        <v>46142.0</v>
      </c>
      <c r="L41" s="19" t="s">
        <v>14</v>
      </c>
      <c r="M41" s="3"/>
      <c r="N41" s="9" t="s">
        <v>70</v>
      </c>
      <c r="O41" s="10">
        <f>N35+H35+B63</f>
        <v>654.34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9" t="s">
        <v>71</v>
      </c>
      <c r="B42" s="27">
        <v>381.0</v>
      </c>
      <c r="C42" s="27">
        <v>6.25</v>
      </c>
      <c r="D42" s="18">
        <v>46159.0</v>
      </c>
      <c r="E42" s="19" t="s">
        <v>14</v>
      </c>
      <c r="F42" s="3"/>
      <c r="G42" s="3"/>
      <c r="H42" s="17"/>
      <c r="I42" s="10">
        <v>0.0</v>
      </c>
      <c r="J42" s="17"/>
      <c r="K42" s="19" t="s">
        <v>16</v>
      </c>
      <c r="L42" s="17" t="s">
        <v>17</v>
      </c>
      <c r="M42" s="3"/>
      <c r="N42" s="9" t="s">
        <v>72</v>
      </c>
      <c r="O42" s="10">
        <f>B71</f>
        <v>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9" t="s">
        <v>73</v>
      </c>
      <c r="B43" s="27">
        <v>110.0</v>
      </c>
      <c r="C43" s="10">
        <v>0.0</v>
      </c>
      <c r="D43" s="18">
        <v>46159.0</v>
      </c>
      <c r="E43" s="19" t="s">
        <v>14</v>
      </c>
      <c r="F43" s="3"/>
      <c r="G43" s="3"/>
      <c r="H43" s="17"/>
      <c r="I43" s="10">
        <v>0.0</v>
      </c>
      <c r="J43" s="17"/>
      <c r="K43" s="19" t="s">
        <v>16</v>
      </c>
      <c r="L43" s="17" t="s">
        <v>17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9" t="s">
        <v>74</v>
      </c>
      <c r="B44" s="27">
        <v>150.0</v>
      </c>
      <c r="C44" s="27">
        <v>2.46</v>
      </c>
      <c r="D44" s="18">
        <v>46160.0</v>
      </c>
      <c r="E44" s="19" t="s">
        <v>14</v>
      </c>
      <c r="F44" s="3"/>
      <c r="G44" s="3"/>
      <c r="H44" s="17"/>
      <c r="I44" s="10">
        <v>0.0</v>
      </c>
      <c r="J44" s="17"/>
      <c r="K44" s="19" t="s">
        <v>16</v>
      </c>
      <c r="L44" s="17" t="s">
        <v>17</v>
      </c>
      <c r="M44" s="3"/>
      <c r="N44" s="9" t="s">
        <v>75</v>
      </c>
      <c r="O44" s="10">
        <f>(O41+O40+O42)</f>
        <v>870.09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9" t="s">
        <v>76</v>
      </c>
      <c r="B45" s="27">
        <v>1890.0</v>
      </c>
      <c r="C45" s="10">
        <v>0.0</v>
      </c>
      <c r="D45" s="18">
        <v>46160.0</v>
      </c>
      <c r="E45" s="19" t="s">
        <v>14</v>
      </c>
      <c r="F45" s="3"/>
      <c r="G45" s="3"/>
      <c r="H45" s="17"/>
      <c r="I45" s="10">
        <v>0.0</v>
      </c>
      <c r="J45" s="17"/>
      <c r="K45" s="19" t="s">
        <v>16</v>
      </c>
      <c r="L45" s="17" t="s">
        <v>17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9" t="s">
        <v>77</v>
      </c>
      <c r="B46" s="27">
        <v>274.0</v>
      </c>
      <c r="C46" s="27">
        <v>4.49</v>
      </c>
      <c r="D46" s="18">
        <v>46160.0</v>
      </c>
      <c r="E46" s="19" t="s">
        <v>14</v>
      </c>
      <c r="F46" s="3"/>
      <c r="G46" s="3"/>
      <c r="H46" s="17"/>
      <c r="I46" s="10">
        <v>0.0</v>
      </c>
      <c r="J46" s="17"/>
      <c r="K46" s="19" t="s">
        <v>16</v>
      </c>
      <c r="L46" s="17" t="s">
        <v>17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9" t="s">
        <v>78</v>
      </c>
      <c r="B47" s="27">
        <v>2098.0</v>
      </c>
      <c r="C47" s="27">
        <v>0.77</v>
      </c>
      <c r="D47" s="18">
        <v>46161.0</v>
      </c>
      <c r="E47" s="19" t="s">
        <v>14</v>
      </c>
      <c r="F47" s="3"/>
      <c r="G47" s="3"/>
      <c r="H47" s="17"/>
      <c r="I47" s="10">
        <v>0.0</v>
      </c>
      <c r="J47" s="17"/>
      <c r="K47" s="19" t="s">
        <v>16</v>
      </c>
      <c r="L47" s="17" t="s">
        <v>17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9" t="s">
        <v>79</v>
      </c>
      <c r="B48" s="27">
        <v>131.0</v>
      </c>
      <c r="C48" s="27">
        <v>2.15</v>
      </c>
      <c r="D48" s="18">
        <v>46161.0</v>
      </c>
      <c r="E48" s="19" t="s">
        <v>14</v>
      </c>
      <c r="F48" s="3"/>
      <c r="G48" s="3"/>
      <c r="H48" s="17"/>
      <c r="I48" s="37"/>
      <c r="J48" s="17"/>
      <c r="K48" s="17"/>
      <c r="L48" s="1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9" t="s">
        <v>80</v>
      </c>
      <c r="B49" s="27">
        <v>312.0</v>
      </c>
      <c r="C49" s="10">
        <v>0.0</v>
      </c>
      <c r="D49" s="18">
        <v>46162.0</v>
      </c>
      <c r="E49" s="19" t="s">
        <v>14</v>
      </c>
      <c r="F49" s="3"/>
      <c r="G49" s="3"/>
      <c r="H49" s="50" t="s">
        <v>25</v>
      </c>
      <c r="I49" s="51">
        <f>SUMIF(L40:L47,"Pagado",I40:I47)</f>
        <v>4759</v>
      </c>
      <c r="J49" s="17"/>
      <c r="K49" s="17"/>
      <c r="L49" s="1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9" t="s">
        <v>81</v>
      </c>
      <c r="B50" s="27">
        <v>83.0</v>
      </c>
      <c r="C50" s="27">
        <v>1.36</v>
      </c>
      <c r="D50" s="18">
        <v>46163.0</v>
      </c>
      <c r="E50" s="19" t="s">
        <v>14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9" t="s">
        <v>82</v>
      </c>
      <c r="B51" s="27">
        <v>660.0</v>
      </c>
      <c r="C51" s="27">
        <v>12.0</v>
      </c>
      <c r="D51" s="18">
        <v>46164.0</v>
      </c>
      <c r="E51" s="19" t="s">
        <v>14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9" t="s">
        <v>83</v>
      </c>
      <c r="B52" s="27">
        <v>300.0</v>
      </c>
      <c r="C52" s="10">
        <v>0.0</v>
      </c>
      <c r="D52" s="18">
        <v>46165.0</v>
      </c>
      <c r="E52" s="19" t="s">
        <v>14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9" t="s">
        <v>84</v>
      </c>
      <c r="B53" s="27">
        <v>378.0</v>
      </c>
      <c r="C53" s="27">
        <v>27.89</v>
      </c>
      <c r="D53" s="18">
        <v>46165.0</v>
      </c>
      <c r="E53" s="19" t="s">
        <v>14</v>
      </c>
      <c r="F53" s="3"/>
      <c r="G53" s="3"/>
      <c r="H53" s="49" t="s">
        <v>85</v>
      </c>
      <c r="I53" s="5"/>
      <c r="J53" s="5"/>
      <c r="K53" s="5"/>
      <c r="L53" s="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9" t="s">
        <v>74</v>
      </c>
      <c r="B54" s="27">
        <v>150.0</v>
      </c>
      <c r="C54" s="27">
        <v>2.46</v>
      </c>
      <c r="D54" s="18">
        <v>46168.0</v>
      </c>
      <c r="E54" s="19" t="s">
        <v>14</v>
      </c>
      <c r="F54" s="3"/>
      <c r="G54" s="3"/>
      <c r="H54" s="46" t="s">
        <v>62</v>
      </c>
      <c r="I54" s="46" t="s">
        <v>6</v>
      </c>
      <c r="J54" s="46" t="s">
        <v>63</v>
      </c>
      <c r="K54" s="46" t="s">
        <v>64</v>
      </c>
      <c r="L54" s="46" t="s">
        <v>9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9" t="s">
        <v>86</v>
      </c>
      <c r="B55" s="27">
        <v>20.0</v>
      </c>
      <c r="C55" s="10">
        <v>0.0</v>
      </c>
      <c r="D55" s="18">
        <v>46169.0</v>
      </c>
      <c r="E55" s="19" t="s">
        <v>14</v>
      </c>
      <c r="F55" s="3"/>
      <c r="G55" s="3"/>
      <c r="H55" s="19" t="s">
        <v>67</v>
      </c>
      <c r="I55" s="27">
        <v>2355.0</v>
      </c>
      <c r="J55" s="19" t="s">
        <v>87</v>
      </c>
      <c r="K55" s="18">
        <v>46142.0</v>
      </c>
      <c r="L55" s="19" t="s">
        <v>14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9" t="s">
        <v>88</v>
      </c>
      <c r="B56" s="27">
        <v>249.83</v>
      </c>
      <c r="C56" s="27">
        <v>4.4</v>
      </c>
      <c r="D56" s="18">
        <v>46170.0</v>
      </c>
      <c r="E56" s="19" t="s">
        <v>14</v>
      </c>
      <c r="F56" s="3"/>
      <c r="G56" s="3"/>
      <c r="H56" s="19" t="s">
        <v>67</v>
      </c>
      <c r="I56" s="27">
        <v>2404.0</v>
      </c>
      <c r="J56" s="19" t="s">
        <v>87</v>
      </c>
      <c r="K56" s="18">
        <v>46142.0</v>
      </c>
      <c r="L56" s="19" t="s">
        <v>14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9" t="s">
        <v>88</v>
      </c>
      <c r="B57" s="27">
        <v>240.0</v>
      </c>
      <c r="C57" s="10">
        <v>0.0</v>
      </c>
      <c r="D57" s="18">
        <v>46170.0</v>
      </c>
      <c r="E57" s="19" t="s">
        <v>14</v>
      </c>
      <c r="F57" s="3"/>
      <c r="G57" s="3"/>
      <c r="H57" s="19" t="s">
        <v>89</v>
      </c>
      <c r="I57" s="27">
        <v>700.0</v>
      </c>
      <c r="J57" s="19" t="s">
        <v>90</v>
      </c>
      <c r="K57" s="18">
        <v>46159.0</v>
      </c>
      <c r="L57" s="19" t="s">
        <v>14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9" t="s">
        <v>81</v>
      </c>
      <c r="B58" s="27">
        <v>130.0</v>
      </c>
      <c r="C58" s="10">
        <v>0.0</v>
      </c>
      <c r="D58" s="18">
        <v>46172.0</v>
      </c>
      <c r="E58" s="19" t="s">
        <v>14</v>
      </c>
      <c r="F58" s="3"/>
      <c r="G58" s="3"/>
      <c r="H58" s="19"/>
      <c r="I58" s="27">
        <v>0.0</v>
      </c>
      <c r="J58" s="19"/>
      <c r="K58" s="19" t="s">
        <v>16</v>
      </c>
      <c r="L58" s="19" t="s">
        <v>17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7"/>
      <c r="B59" s="10">
        <v>0.0</v>
      </c>
      <c r="C59" s="10">
        <v>0.0</v>
      </c>
      <c r="D59" s="19" t="s">
        <v>16</v>
      </c>
      <c r="E59" s="17" t="s">
        <v>17</v>
      </c>
      <c r="F59" s="3"/>
      <c r="G59" s="3"/>
      <c r="H59" s="17"/>
      <c r="I59" s="10">
        <v>0.0</v>
      </c>
      <c r="J59" s="17"/>
      <c r="K59" s="19" t="s">
        <v>16</v>
      </c>
      <c r="L59" s="17" t="s">
        <v>17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17"/>
      <c r="I60" s="10">
        <v>0.0</v>
      </c>
      <c r="J60" s="17"/>
      <c r="K60" s="19" t="s">
        <v>16</v>
      </c>
      <c r="L60" s="17" t="s">
        <v>17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2" t="s">
        <v>25</v>
      </c>
      <c r="B61" s="43">
        <f t="shared" ref="B61:C61" si="3">SUM(B19:B59)</f>
        <v>19408.33</v>
      </c>
      <c r="C61" s="43">
        <f t="shared" si="3"/>
        <v>245.15</v>
      </c>
      <c r="D61" s="17"/>
      <c r="E61" s="17"/>
      <c r="F61" s="3"/>
      <c r="G61" s="3"/>
      <c r="H61" s="17"/>
      <c r="I61" s="10">
        <v>0.0</v>
      </c>
      <c r="J61" s="17"/>
      <c r="K61" s="19" t="s">
        <v>16</v>
      </c>
      <c r="L61" s="17" t="s">
        <v>17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7"/>
      <c r="B62" s="17"/>
      <c r="C62" s="17"/>
      <c r="D62" s="17"/>
      <c r="E62" s="17"/>
      <c r="F62" s="3"/>
      <c r="G62" s="3"/>
      <c r="H62" s="17"/>
      <c r="I62" s="10">
        <v>0.0</v>
      </c>
      <c r="J62" s="17"/>
      <c r="K62" s="19" t="s">
        <v>16</v>
      </c>
      <c r="L62" s="17" t="s">
        <v>17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9" t="s">
        <v>21</v>
      </c>
      <c r="B63" s="10">
        <f>SUM(B2+B5-H12+F12+B4+I57-K6)
-SUMIF(E19:E59,"Pagado",B19:B59)
+SUMIF(E19:E59,"Pagado",C19:C59)</f>
        <v>321.33</v>
      </c>
      <c r="C63" s="17"/>
      <c r="D63" s="17"/>
      <c r="E63" s="17"/>
      <c r="F63" s="3"/>
      <c r="G63" s="3"/>
      <c r="H63" s="17"/>
      <c r="I63" s="17"/>
      <c r="J63" s="17"/>
      <c r="K63" s="17"/>
      <c r="L63" s="17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50" t="s">
        <v>25</v>
      </c>
      <c r="I64" s="51">
        <f>SUMIF(L55:L62,"Pagado",I55:I62)</f>
        <v>5459</v>
      </c>
      <c r="J64" s="17"/>
      <c r="K64" s="17"/>
      <c r="L64" s="17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2" t="s">
        <v>91</v>
      </c>
      <c r="B65" s="7"/>
      <c r="C65" s="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92</v>
      </c>
      <c r="B66" s="11" t="s">
        <v>6</v>
      </c>
      <c r="C66" s="11" t="s">
        <v>93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9" t="s">
        <v>94</v>
      </c>
      <c r="B67" s="10">
        <v>0.0</v>
      </c>
      <c r="C67" s="10">
        <v>0.0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9" t="s">
        <v>95</v>
      </c>
      <c r="B68" s="10">
        <v>0.0</v>
      </c>
      <c r="C68" s="53">
        <v>0.0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96</v>
      </c>
      <c r="B70" s="53">
        <f t="shared" ref="B70:C70" si="4">SUM(B67:B68)</f>
        <v>0</v>
      </c>
      <c r="C70" s="53">
        <f t="shared" si="4"/>
        <v>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72</v>
      </c>
      <c r="B71" s="53">
        <f>SUM(B70+C70)</f>
        <v>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20"/>
      <c r="H72" s="3"/>
      <c r="I72" s="3"/>
      <c r="J72" s="20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20"/>
      <c r="H73" s="3"/>
      <c r="I73" s="3"/>
      <c r="J73" s="20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20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2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2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20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20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G17:K17"/>
    <mergeCell ref="H38:L38"/>
    <mergeCell ref="N38:O38"/>
    <mergeCell ref="H53:L53"/>
    <mergeCell ref="A65:C65"/>
    <mergeCell ref="A1:B1"/>
    <mergeCell ref="D1:H1"/>
    <mergeCell ref="J1:M1"/>
    <mergeCell ref="O1:Q1"/>
    <mergeCell ref="O2:Q9"/>
    <mergeCell ref="A17:E17"/>
    <mergeCell ref="M17:Q17"/>
  </mergeCells>
  <dataValidations>
    <dataValidation type="list" allowBlank="1" showErrorMessage="1" sqref="M3:M4 H3:H10 K19:K31 Q19:Q31 L40:L47 E19:E59 L55:L62">
      <formula1>"Pendiente,Pagado"</formula1>
    </dataValidation>
  </dataValidations>
  <drawing r:id="rId1"/>
</worksheet>
</file>