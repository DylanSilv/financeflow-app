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<sst xmlns="http://schemas.openxmlformats.org/spreadsheetml/2006/main" count="201" uniqueCount="81">
  <si>
    <t>DATOS GENERALES</t>
  </si>
  <si>
    <t>GASTOS FIJOS</t>
  </si>
  <si>
    <t>AHORRO BROU</t>
  </si>
  <si>
    <t>NOTAS</t>
  </si>
  <si>
    <t>Cobro</t>
  </si>
  <si>
    <t>Categorias</t>
  </si>
  <si>
    <t>Monto</t>
  </si>
  <si>
    <t>Fecha de pago</t>
  </si>
  <si>
    <t>Objetivo</t>
  </si>
  <si>
    <t>Fecha de ingreso</t>
  </si>
  <si>
    <t xml:space="preserve">Este mes le preste a papá </t>
  </si>
  <si>
    <t>Celular</t>
  </si>
  <si>
    <t>Guardado</t>
  </si>
  <si>
    <t xml:space="preserve">Beneficio </t>
  </si>
  <si>
    <t>Creditel</t>
  </si>
  <si>
    <t>Transf ahorrado</t>
  </si>
  <si>
    <t>Itau</t>
  </si>
  <si>
    <t>PagoDespues</t>
  </si>
  <si>
    <t xml:space="preserve">transf helados </t>
  </si>
  <si>
    <t>Santander</t>
  </si>
  <si>
    <t>Internet</t>
  </si>
  <si>
    <t>00/01/2026</t>
  </si>
  <si>
    <t>Itau Alimentacion</t>
  </si>
  <si>
    <t>Veterinaria</t>
  </si>
  <si>
    <t>Brou</t>
  </si>
  <si>
    <t>Total</t>
  </si>
  <si>
    <t>COMPRAS ITAU</t>
  </si>
  <si>
    <t>COMPRAS SANTANDER</t>
  </si>
  <si>
    <t xml:space="preserve">ITAU ALIMENTACION </t>
  </si>
  <si>
    <t>Cosas</t>
  </si>
  <si>
    <t>Costo</t>
  </si>
  <si>
    <t>IVA</t>
  </si>
  <si>
    <t xml:space="preserve">Fecha de pago </t>
  </si>
  <si>
    <t>Estado</t>
  </si>
  <si>
    <t>Transf a papa</t>
  </si>
  <si>
    <t>Pagado</t>
  </si>
  <si>
    <t>Mini surtido Devoto</t>
  </si>
  <si>
    <t>Devoto</t>
  </si>
  <si>
    <t>macro</t>
  </si>
  <si>
    <t>trans a papa</t>
  </si>
  <si>
    <t>Cidra</t>
  </si>
  <si>
    <t>fiambre, leche y malteadas</t>
  </si>
  <si>
    <t>Monster</t>
  </si>
  <si>
    <t>Cerveza</t>
  </si>
  <si>
    <t>Helados</t>
  </si>
  <si>
    <t>Fiambre</t>
  </si>
  <si>
    <t xml:space="preserve">sábanas </t>
  </si>
  <si>
    <t xml:space="preserve">coca y refuerzo </t>
  </si>
  <si>
    <t>retiro</t>
  </si>
  <si>
    <t xml:space="preserve">desodorantes, vucal y jabón </t>
  </si>
  <si>
    <t xml:space="preserve">pago después </t>
  </si>
  <si>
    <t>comisión cabify</t>
  </si>
  <si>
    <t>pan rallado</t>
  </si>
  <si>
    <t xml:space="preserve">uber </t>
  </si>
  <si>
    <t>yogur y chocolatada</t>
  </si>
  <si>
    <t>pago trabajo a papa</t>
  </si>
  <si>
    <t>Factura antel</t>
  </si>
  <si>
    <t xml:space="preserve">Santander </t>
  </si>
  <si>
    <t>Flulbo</t>
  </si>
  <si>
    <t xml:space="preserve">helados </t>
  </si>
  <si>
    <t>RESUMEN</t>
  </si>
  <si>
    <t xml:space="preserve">Total gastos </t>
  </si>
  <si>
    <t>Total ahorros</t>
  </si>
  <si>
    <t>DEVOLUCIONES</t>
  </si>
  <si>
    <t>PRESTACIONES</t>
  </si>
  <si>
    <t xml:space="preserve">Disponible </t>
  </si>
  <si>
    <t xml:space="preserve">Persona </t>
  </si>
  <si>
    <t>Motivo</t>
  </si>
  <si>
    <t xml:space="preserve">Fecha </t>
  </si>
  <si>
    <t>Mama</t>
  </si>
  <si>
    <t>Pago de tarjeta creditel (mes de febrero)</t>
  </si>
  <si>
    <t>Papa</t>
  </si>
  <si>
    <t>Pagar trabajo taxi</t>
  </si>
  <si>
    <t>Yo</t>
  </si>
  <si>
    <t>Es el beneficio de antel (descontando el seguro de Zurich)</t>
  </si>
  <si>
    <t xml:space="preserve">Familia </t>
  </si>
  <si>
    <t>Fiestas</t>
  </si>
  <si>
    <t xml:space="preserve">Le pague lo que le faltaba del trabajo de taxi </t>
  </si>
  <si>
    <t>Entre las fiestas y el pago del trabajo de papa</t>
  </si>
  <si>
    <t xml:space="preserve">Pagar trabajo taxi 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</si>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</sst>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/m/yyyy"/>
    <numFmt numFmtId="166" formatCode="dd/m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/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3" numFmtId="0" xfId="0" applyBorder="1" applyFont="1"/>
    <xf borderId="0" fillId="0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4" fontId="2" numFmtId="164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3" fontId="2" numFmtId="164" xfId="0" applyAlignment="1" applyFont="1" applyNumberFormat="1">
      <alignment horizontal="right" readingOrder="0" vertical="bottom"/>
    </xf>
    <xf borderId="0" fillId="2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5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bottom" wrapText="1"/>
    </xf>
    <xf borderId="0" fillId="0" fontId="2" numFmtId="165" xfId="0" applyAlignment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2" fontId="6" numFmtId="0" xfId="0" applyAlignment="1" applyFont="1">
      <alignment readingOrder="0"/>
    </xf>
    <xf borderId="0" fillId="2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6.25"/>
    <col customWidth="1" min="10" max="10" width="16.0"/>
    <col customWidth="1" min="11" max="11" width="14.63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4" t="s">
        <v>3</v>
      </c>
      <c r="M1" s="5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4</v>
      </c>
      <c r="B2" s="8">
        <v>26918.0</v>
      </c>
      <c r="C2" s="2"/>
      <c r="D2" s="9" t="s">
        <v>5</v>
      </c>
      <c r="E2" s="9" t="s">
        <v>6</v>
      </c>
      <c r="F2" s="9" t="s">
        <v>7</v>
      </c>
      <c r="G2" s="2"/>
      <c r="H2" s="9" t="s">
        <v>8</v>
      </c>
      <c r="I2" s="9" t="s">
        <v>6</v>
      </c>
      <c r="J2" s="9" t="s">
        <v>9</v>
      </c>
      <c r="K2" s="2"/>
      <c r="L2" s="10" t="s">
        <v>10</v>
      </c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9</v>
      </c>
      <c r="B3" s="12">
        <v>46021.0</v>
      </c>
      <c r="C3" s="2"/>
      <c r="D3" s="2" t="s">
        <v>11</v>
      </c>
      <c r="E3" s="8">
        <v>2000.0</v>
      </c>
      <c r="F3" s="13">
        <v>46026.0</v>
      </c>
      <c r="G3" s="2"/>
      <c r="H3" s="7" t="s">
        <v>12</v>
      </c>
      <c r="I3" s="8">
        <f>SUM(5000-I4-I5) </f>
        <v>2000</v>
      </c>
      <c r="J3" s="13">
        <v>46021.0</v>
      </c>
      <c r="K3" s="2"/>
      <c r="L3" s="14"/>
      <c r="N3" s="1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13</v>
      </c>
      <c r="B4" s="15">
        <v>1300.0</v>
      </c>
      <c r="C4" s="2"/>
      <c r="D4" s="16" t="s">
        <v>14</v>
      </c>
      <c r="E4" s="8">
        <v>5910.0</v>
      </c>
      <c r="F4" s="13">
        <v>46032.0</v>
      </c>
      <c r="G4" s="2"/>
      <c r="H4" s="16" t="s">
        <v>15</v>
      </c>
      <c r="I4" s="8">
        <v>2000.0</v>
      </c>
      <c r="J4" s="13">
        <v>46048.0</v>
      </c>
      <c r="K4" s="2"/>
      <c r="L4" s="14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16</v>
      </c>
      <c r="B5" s="8">
        <v>12.64</v>
      </c>
      <c r="C5" s="18"/>
      <c r="D5" s="19" t="s">
        <v>17</v>
      </c>
      <c r="E5" s="8">
        <v>2121.15</v>
      </c>
      <c r="F5" s="13">
        <v>46024.0</v>
      </c>
      <c r="G5" s="2"/>
      <c r="H5" s="16" t="s">
        <v>18</v>
      </c>
      <c r="I5" s="8">
        <v>1000.0</v>
      </c>
      <c r="J5" s="2"/>
      <c r="K5" s="2"/>
      <c r="L5" s="14"/>
      <c r="N5" s="1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19</v>
      </c>
      <c r="B6" s="8">
        <v>0.57</v>
      </c>
      <c r="C6" s="18"/>
      <c r="D6" s="16" t="s">
        <v>20</v>
      </c>
      <c r="E6" s="15">
        <v>0.0</v>
      </c>
      <c r="F6" s="16" t="s">
        <v>21</v>
      </c>
      <c r="G6" s="2"/>
      <c r="H6" s="2"/>
      <c r="I6" s="2"/>
      <c r="J6" s="2"/>
      <c r="K6" s="2"/>
      <c r="L6" s="14"/>
      <c r="N6" s="1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" t="s">
        <v>22</v>
      </c>
      <c r="B7" s="8">
        <v>3720.0</v>
      </c>
      <c r="C7" s="18"/>
      <c r="D7" s="16" t="s">
        <v>23</v>
      </c>
      <c r="E7" s="15">
        <v>0.0</v>
      </c>
      <c r="F7" s="16" t="s">
        <v>21</v>
      </c>
      <c r="G7" s="2"/>
      <c r="H7" s="2"/>
      <c r="I7" s="2"/>
      <c r="J7" s="2"/>
      <c r="K7" s="2"/>
      <c r="L7" s="14"/>
      <c r="N7" s="1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 t="s">
        <v>24</v>
      </c>
      <c r="B8" s="8">
        <f>SUM(I3)</f>
        <v>2000</v>
      </c>
      <c r="C8" s="18"/>
      <c r="G8" s="2"/>
      <c r="H8" s="2"/>
      <c r="I8" s="2"/>
      <c r="J8" s="2"/>
      <c r="K8" s="2"/>
      <c r="L8" s="14"/>
      <c r="N8" s="1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/>
      <c r="B9" s="21"/>
      <c r="C9" s="18"/>
      <c r="D9" s="22" t="s">
        <v>25</v>
      </c>
      <c r="E9" s="23">
        <f>SUM(E3:E7)</f>
        <v>10031.15</v>
      </c>
      <c r="F9" s="24"/>
      <c r="G9" s="2"/>
      <c r="H9" s="2"/>
      <c r="I9" s="2"/>
      <c r="J9" s="2"/>
      <c r="K9" s="2"/>
      <c r="L9" s="25"/>
      <c r="M9" s="26"/>
      <c r="N9" s="2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</v>
      </c>
      <c r="G12" s="3" t="s">
        <v>27</v>
      </c>
      <c r="M12" s="3" t="s">
        <v>28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29</v>
      </c>
      <c r="B13" s="9" t="s">
        <v>30</v>
      </c>
      <c r="C13" s="28" t="s">
        <v>31</v>
      </c>
      <c r="D13" s="9" t="s">
        <v>32</v>
      </c>
      <c r="E13" s="9" t="s">
        <v>33</v>
      </c>
      <c r="G13" s="9" t="s">
        <v>29</v>
      </c>
      <c r="H13" s="9" t="s">
        <v>30</v>
      </c>
      <c r="I13" s="28" t="s">
        <v>31</v>
      </c>
      <c r="J13" s="9" t="s">
        <v>32</v>
      </c>
      <c r="K13" s="9" t="s">
        <v>33</v>
      </c>
      <c r="M13" s="9" t="s">
        <v>29</v>
      </c>
      <c r="N13" s="9" t="s">
        <v>30</v>
      </c>
      <c r="O13" s="28" t="s">
        <v>31</v>
      </c>
      <c r="P13" s="9" t="s">
        <v>32</v>
      </c>
      <c r="Q13" s="9" t="s">
        <v>33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34</v>
      </c>
      <c r="B14" s="8">
        <v>2000.0</v>
      </c>
      <c r="C14" s="8">
        <v>0.0</v>
      </c>
      <c r="D14" s="12">
        <v>46021.0</v>
      </c>
      <c r="E14" s="2" t="s">
        <v>35</v>
      </c>
      <c r="G14" s="19"/>
      <c r="H14" s="8">
        <v>0.0</v>
      </c>
      <c r="I14" s="8">
        <v>0.0</v>
      </c>
      <c r="J14" s="16" t="s">
        <v>21</v>
      </c>
      <c r="K14" s="2" t="s">
        <v>35</v>
      </c>
      <c r="M14" s="16" t="s">
        <v>36</v>
      </c>
      <c r="N14" s="8">
        <v>1334.63</v>
      </c>
      <c r="O14" s="8">
        <v>22.57</v>
      </c>
      <c r="P14" s="13">
        <v>46025.0</v>
      </c>
      <c r="Q14" s="2" t="s">
        <v>35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37</v>
      </c>
      <c r="B15" s="8">
        <v>4745.95</v>
      </c>
      <c r="C15" s="8">
        <v>79.93</v>
      </c>
      <c r="D15" s="12">
        <v>46021.0</v>
      </c>
      <c r="E15" s="2" t="s">
        <v>35</v>
      </c>
      <c r="G15" s="2"/>
      <c r="H15" s="8">
        <v>0.0</v>
      </c>
      <c r="I15" s="8">
        <v>0.0</v>
      </c>
      <c r="J15" s="16" t="s">
        <v>21</v>
      </c>
      <c r="K15" s="2" t="s">
        <v>35</v>
      </c>
      <c r="M15" s="16" t="s">
        <v>38</v>
      </c>
      <c r="N15" s="8">
        <v>1967.0</v>
      </c>
      <c r="O15" s="8">
        <v>30.29</v>
      </c>
      <c r="P15" s="13">
        <v>46040.0</v>
      </c>
      <c r="Q15" s="2" t="s">
        <v>35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16" t="s">
        <v>39</v>
      </c>
      <c r="B16" s="8">
        <v>2000.0</v>
      </c>
      <c r="C16" s="8">
        <v>0.0</v>
      </c>
      <c r="D16" s="13">
        <v>46053.0</v>
      </c>
      <c r="E16" s="2" t="s">
        <v>35</v>
      </c>
      <c r="G16" s="2"/>
      <c r="H16" s="8">
        <v>0.0</v>
      </c>
      <c r="I16" s="8">
        <v>0.0</v>
      </c>
      <c r="J16" s="16" t="s">
        <v>21</v>
      </c>
      <c r="K16" s="2" t="s">
        <v>35</v>
      </c>
      <c r="M16" s="16" t="s">
        <v>40</v>
      </c>
      <c r="N16" s="8">
        <v>105.0</v>
      </c>
      <c r="O16" s="8">
        <v>1.72</v>
      </c>
      <c r="P16" s="13">
        <v>46046.0</v>
      </c>
      <c r="Q16" s="2" t="s">
        <v>35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41</v>
      </c>
      <c r="B17" s="8">
        <v>385.0</v>
      </c>
      <c r="C17" s="8">
        <v>0.0</v>
      </c>
      <c r="D17" s="13">
        <v>46053.0</v>
      </c>
      <c r="E17" s="2" t="s">
        <v>35</v>
      </c>
      <c r="G17" s="2"/>
      <c r="H17" s="8">
        <v>0.0</v>
      </c>
      <c r="I17" s="8">
        <v>0.0</v>
      </c>
      <c r="J17" s="16" t="s">
        <v>21</v>
      </c>
      <c r="K17" s="2" t="s">
        <v>35</v>
      </c>
      <c r="M17" s="16" t="s">
        <v>42</v>
      </c>
      <c r="N17" s="8">
        <v>114.0</v>
      </c>
      <c r="O17" s="8">
        <v>1.87</v>
      </c>
      <c r="P17" s="13">
        <v>46046.0</v>
      </c>
      <c r="Q17" s="2" t="s">
        <v>35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43</v>
      </c>
      <c r="B18" s="8">
        <v>504.0</v>
      </c>
      <c r="C18" s="8">
        <v>8.26</v>
      </c>
      <c r="D18" s="13">
        <v>46053.0</v>
      </c>
      <c r="E18" s="2" t="s">
        <v>35</v>
      </c>
      <c r="G18" s="2"/>
      <c r="H18" s="8">
        <v>0.0</v>
      </c>
      <c r="I18" s="8">
        <v>0.0</v>
      </c>
      <c r="J18" s="16" t="s">
        <v>21</v>
      </c>
      <c r="K18" s="2" t="s">
        <v>35</v>
      </c>
      <c r="M18" s="16" t="s">
        <v>44</v>
      </c>
      <c r="N18" s="8">
        <v>80.0</v>
      </c>
      <c r="O18" s="8">
        <v>5.9</v>
      </c>
      <c r="P18" s="13">
        <v>46047.0</v>
      </c>
      <c r="Q18" s="2" t="s">
        <v>35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45</v>
      </c>
      <c r="B19" s="8">
        <v>189.0</v>
      </c>
      <c r="C19" s="8">
        <v>0.0</v>
      </c>
      <c r="D19" s="13">
        <v>46053.0</v>
      </c>
      <c r="E19" s="2" t="s">
        <v>35</v>
      </c>
      <c r="G19" s="2"/>
      <c r="H19" s="8">
        <v>0.0</v>
      </c>
      <c r="I19" s="8">
        <v>0.0</v>
      </c>
      <c r="J19" s="16" t="s">
        <v>21</v>
      </c>
      <c r="K19" s="2" t="s">
        <v>35</v>
      </c>
      <c r="M19" s="2"/>
      <c r="N19" s="8">
        <v>0.0</v>
      </c>
      <c r="O19" s="8">
        <v>0.0</v>
      </c>
      <c r="P19" s="16" t="s">
        <v>21</v>
      </c>
      <c r="Q19" s="2" t="s">
        <v>35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16" t="s">
        <v>46</v>
      </c>
      <c r="B20" s="8">
        <v>370.0</v>
      </c>
      <c r="C20" s="8">
        <v>0.0</v>
      </c>
      <c r="D20" s="13">
        <v>46025.0</v>
      </c>
      <c r="E20" s="2" t="s">
        <v>35</v>
      </c>
      <c r="G20" s="2"/>
      <c r="H20" s="8">
        <v>0.0</v>
      </c>
      <c r="I20" s="8">
        <v>0.0</v>
      </c>
      <c r="J20" s="16" t="s">
        <v>21</v>
      </c>
      <c r="K20" s="2" t="s">
        <v>35</v>
      </c>
      <c r="M20" s="2"/>
      <c r="N20" s="8">
        <v>0.0</v>
      </c>
      <c r="O20" s="8">
        <v>0.0</v>
      </c>
      <c r="P20" s="16" t="s">
        <v>21</v>
      </c>
      <c r="Q20" s="2" t="s">
        <v>35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16" t="s">
        <v>47</v>
      </c>
      <c r="B21" s="8">
        <v>283.0</v>
      </c>
      <c r="C21" s="8">
        <v>4.64</v>
      </c>
      <c r="D21" s="13">
        <v>46027.0</v>
      </c>
      <c r="E21" s="2" t="s">
        <v>35</v>
      </c>
      <c r="G21" s="2"/>
      <c r="H21" s="8">
        <v>0.0</v>
      </c>
      <c r="I21" s="8">
        <v>0.0</v>
      </c>
      <c r="J21" s="16" t="s">
        <v>21</v>
      </c>
      <c r="K21" s="2" t="s">
        <v>35</v>
      </c>
      <c r="M21" s="2"/>
      <c r="N21" s="8">
        <v>0.0</v>
      </c>
      <c r="O21" s="8">
        <v>0.0</v>
      </c>
      <c r="P21" s="16" t="s">
        <v>21</v>
      </c>
      <c r="Q21" s="2" t="s">
        <v>35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6" t="s">
        <v>48</v>
      </c>
      <c r="B22" s="8">
        <v>100.0</v>
      </c>
      <c r="C22" s="8">
        <v>0.0</v>
      </c>
      <c r="D22" s="13">
        <v>46027.0</v>
      </c>
      <c r="E22" s="2" t="s">
        <v>35</v>
      </c>
      <c r="G22" s="2"/>
      <c r="H22" s="8">
        <v>0.0</v>
      </c>
      <c r="I22" s="8">
        <v>0.0</v>
      </c>
      <c r="J22" s="16" t="s">
        <v>21</v>
      </c>
      <c r="K22" s="2" t="s">
        <v>35</v>
      </c>
      <c r="M22" s="2"/>
      <c r="N22" s="8">
        <v>0.0</v>
      </c>
      <c r="O22" s="8">
        <v>0.0</v>
      </c>
      <c r="P22" s="16" t="s">
        <v>21</v>
      </c>
      <c r="Q22" s="2" t="s">
        <v>35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49</v>
      </c>
      <c r="B23" s="8">
        <v>1072.0</v>
      </c>
      <c r="C23" s="8">
        <v>17.9</v>
      </c>
      <c r="D23" s="13">
        <v>46028.0</v>
      </c>
      <c r="E23" s="2" t="s">
        <v>35</v>
      </c>
      <c r="G23" s="2"/>
      <c r="H23" s="8">
        <v>0.0</v>
      </c>
      <c r="I23" s="8">
        <v>0.0</v>
      </c>
      <c r="J23" s="16" t="s">
        <v>21</v>
      </c>
      <c r="K23" s="2" t="s">
        <v>35</v>
      </c>
      <c r="M23" s="2"/>
      <c r="N23" s="8">
        <v>0.0</v>
      </c>
      <c r="O23" s="8">
        <v>0.0</v>
      </c>
      <c r="P23" s="16" t="s">
        <v>21</v>
      </c>
      <c r="Q23" s="2" t="s">
        <v>35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50</v>
      </c>
      <c r="B24" s="8">
        <v>2121.15</v>
      </c>
      <c r="C24" s="8">
        <v>0.0</v>
      </c>
      <c r="D24" s="13">
        <v>46031.0</v>
      </c>
      <c r="E24" s="2" t="s">
        <v>35</v>
      </c>
      <c r="G24" s="2"/>
      <c r="H24" s="8">
        <v>0.0</v>
      </c>
      <c r="I24" s="8">
        <v>0.0</v>
      </c>
      <c r="J24" s="16" t="s">
        <v>21</v>
      </c>
      <c r="K24" s="2" t="s">
        <v>35</v>
      </c>
      <c r="M24" s="2"/>
      <c r="N24" s="8">
        <v>0.0</v>
      </c>
      <c r="O24" s="8">
        <v>0.0</v>
      </c>
      <c r="P24" s="16" t="s">
        <v>21</v>
      </c>
      <c r="Q24" s="2" t="s">
        <v>35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19" t="s">
        <v>51</v>
      </c>
      <c r="B25" s="8">
        <v>14.76</v>
      </c>
      <c r="C25" s="8">
        <v>0.0</v>
      </c>
      <c r="D25" s="13">
        <v>46031.0</v>
      </c>
      <c r="E25" s="2" t="s">
        <v>35</v>
      </c>
      <c r="G25" s="2"/>
      <c r="H25" s="8">
        <v>0.0</v>
      </c>
      <c r="I25" s="8">
        <v>0.0</v>
      </c>
      <c r="J25" s="16" t="s">
        <v>21</v>
      </c>
      <c r="K25" s="2" t="s">
        <v>35</v>
      </c>
      <c r="M25" s="2"/>
      <c r="N25" s="8">
        <v>0.0</v>
      </c>
      <c r="O25" s="8">
        <v>0.0</v>
      </c>
      <c r="P25" s="16" t="s">
        <v>21</v>
      </c>
      <c r="Q25" s="2" t="s">
        <v>35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52</v>
      </c>
      <c r="B26" s="8">
        <v>79.0</v>
      </c>
      <c r="C26" s="8">
        <v>1.3</v>
      </c>
      <c r="D26" s="13">
        <v>46032.0</v>
      </c>
      <c r="E26" s="2" t="s">
        <v>35</v>
      </c>
      <c r="G26" s="2"/>
      <c r="H26" s="8">
        <v>0.0</v>
      </c>
      <c r="I26" s="8">
        <v>0.0</v>
      </c>
      <c r="J26" s="16" t="s">
        <v>21</v>
      </c>
      <c r="K26" s="2" t="s">
        <v>35</v>
      </c>
      <c r="M26" s="2"/>
      <c r="N26" s="8">
        <v>0.0</v>
      </c>
      <c r="O26" s="8">
        <v>0.0</v>
      </c>
      <c r="P26" s="16" t="s">
        <v>21</v>
      </c>
      <c r="Q26" s="2" t="s">
        <v>35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19" t="s">
        <v>53</v>
      </c>
      <c r="B27" s="8">
        <v>403.77</v>
      </c>
      <c r="C27" s="8">
        <v>14.76</v>
      </c>
      <c r="D27" s="13">
        <v>46033.0</v>
      </c>
      <c r="E27" s="2" t="s">
        <v>35</v>
      </c>
      <c r="G27" s="2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9" t="s">
        <v>54</v>
      </c>
      <c r="B28" s="8">
        <v>165.0</v>
      </c>
      <c r="C28" s="8">
        <v>2.71</v>
      </c>
      <c r="D28" s="13">
        <v>46033.0</v>
      </c>
      <c r="E28" s="2" t="s">
        <v>35</v>
      </c>
      <c r="G28" s="22" t="s">
        <v>25</v>
      </c>
      <c r="H28" s="23">
        <f t="shared" ref="H28:I28" si="1">SUM(H14:H26)</f>
        <v>0</v>
      </c>
      <c r="I28" s="23">
        <f t="shared" si="1"/>
        <v>0</v>
      </c>
      <c r="J28" s="2"/>
      <c r="K28" s="2"/>
      <c r="M28" s="22" t="s">
        <v>25</v>
      </c>
      <c r="N28" s="23">
        <f t="shared" ref="N28:O28" si="2">SUM(N14:N26)</f>
        <v>3600.63</v>
      </c>
      <c r="O28" s="23">
        <f t="shared" si="2"/>
        <v>62.35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 t="s">
        <v>55</v>
      </c>
      <c r="B29" s="8">
        <v>1090.0</v>
      </c>
      <c r="C29" s="8">
        <v>0.0</v>
      </c>
      <c r="D29" s="13">
        <v>46035.0</v>
      </c>
      <c r="E29" s="2" t="s">
        <v>35</v>
      </c>
      <c r="G29" s="2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 t="s">
        <v>56</v>
      </c>
      <c r="B30" s="8">
        <v>1719.0</v>
      </c>
      <c r="C30" s="8">
        <v>18.16</v>
      </c>
      <c r="D30" s="13">
        <v>46048.0</v>
      </c>
      <c r="E30" s="2" t="s">
        <v>35</v>
      </c>
      <c r="G30" s="7" t="s">
        <v>57</v>
      </c>
      <c r="H30" s="15">
        <f>SUM(B6-H28)</f>
        <v>0.57</v>
      </c>
      <c r="I30" s="2"/>
      <c r="J30" s="2"/>
      <c r="K30" s="2"/>
      <c r="M30" s="29" t="s">
        <v>22</v>
      </c>
      <c r="N30" s="15">
        <f>SUM(B7-N28+O28)</f>
        <v>181.72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" t="s">
        <v>58</v>
      </c>
      <c r="B31" s="8">
        <v>260.0</v>
      </c>
      <c r="C31" s="8">
        <v>0.0</v>
      </c>
      <c r="D31" s="13">
        <v>46051.0</v>
      </c>
      <c r="E31" s="2" t="s">
        <v>35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9" t="s">
        <v>59</v>
      </c>
      <c r="B32" s="8">
        <v>885.24</v>
      </c>
      <c r="C32" s="8">
        <v>0.0</v>
      </c>
      <c r="D32" s="13">
        <v>46052.0</v>
      </c>
      <c r="E32" s="2" t="s">
        <v>35</v>
      </c>
      <c r="F32" s="2"/>
      <c r="G32" s="8"/>
      <c r="H32" s="2"/>
      <c r="R32" s="2"/>
      <c r="S32" s="2"/>
      <c r="T32" s="2"/>
      <c r="U32" s="2"/>
      <c r="V32" s="2"/>
      <c r="W32" s="2"/>
      <c r="X32" s="2"/>
      <c r="Y32" s="2"/>
      <c r="Z32" s="2"/>
    </row>
    <row r="33">
      <c r="D33" s="2"/>
      <c r="F33" s="8"/>
      <c r="G33" s="2"/>
      <c r="H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2" t="s">
        <v>25</v>
      </c>
      <c r="B34" s="23">
        <f>SUM(B14:B32)</f>
        <v>18386.87</v>
      </c>
      <c r="C34" s="30">
        <f>SUM(C14:C31)</f>
        <v>147.66</v>
      </c>
      <c r="D34" s="2"/>
      <c r="E34" s="16"/>
      <c r="F34" s="8"/>
      <c r="G34" s="2"/>
      <c r="H34" s="2"/>
      <c r="N34" s="1" t="s">
        <v>60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N35" s="7" t="s">
        <v>61</v>
      </c>
      <c r="O35" s="15">
        <f>SUM(B34+H28+N28+E9)</f>
        <v>32018.65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16</v>
      </c>
      <c r="B36" s="8">
        <f>SUM(B5+B2-B34-E9-I3+C34+32.79+B40+B41)</f>
        <v>171.07</v>
      </c>
      <c r="C36" s="2"/>
      <c r="D36" s="2"/>
      <c r="E36" s="2"/>
      <c r="F36" s="2"/>
      <c r="G36" s="2"/>
      <c r="H36" s="2"/>
      <c r="N36" s="7" t="s">
        <v>62</v>
      </c>
      <c r="O36" s="15">
        <f>SUM(I3)</f>
        <v>2000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C37" s="2"/>
      <c r="D37" s="2"/>
      <c r="E37" s="2"/>
      <c r="F37" s="2"/>
      <c r="G37" s="2"/>
      <c r="H37" s="2"/>
      <c r="N37" s="7"/>
      <c r="O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1" t="s">
        <v>63</v>
      </c>
      <c r="F38" s="2"/>
      <c r="H38" s="31" t="s">
        <v>64</v>
      </c>
      <c r="N38" s="7" t="s">
        <v>65</v>
      </c>
      <c r="O38" s="15">
        <f>SUM(B36+H30+N30)</f>
        <v>353.36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A39" s="28" t="s">
        <v>66</v>
      </c>
      <c r="B39" s="28" t="s">
        <v>6</v>
      </c>
      <c r="C39" s="28" t="s">
        <v>67</v>
      </c>
      <c r="D39" s="32" t="s">
        <v>68</v>
      </c>
      <c r="E39" s="32" t="s">
        <v>33</v>
      </c>
      <c r="F39" s="2"/>
      <c r="H39" s="28" t="s">
        <v>66</v>
      </c>
      <c r="I39" s="28" t="s">
        <v>6</v>
      </c>
      <c r="J39" s="28" t="s">
        <v>67</v>
      </c>
      <c r="K39" s="32" t="s">
        <v>68</v>
      </c>
      <c r="L39" s="32" t="s">
        <v>33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33" t="s">
        <v>69</v>
      </c>
      <c r="B40" s="34">
        <v>2700.0</v>
      </c>
      <c r="C40" s="35" t="s">
        <v>70</v>
      </c>
      <c r="D40" s="36">
        <v>46033.0</v>
      </c>
      <c r="E40" s="37" t="s">
        <v>35</v>
      </c>
      <c r="F40" s="2"/>
      <c r="H40" s="33" t="s">
        <v>71</v>
      </c>
      <c r="I40" s="34">
        <v>2000.0</v>
      </c>
      <c r="J40" s="38" t="s">
        <v>72</v>
      </c>
      <c r="K40" s="36">
        <v>46021.0</v>
      </c>
      <c r="L40" s="39" t="s">
        <v>35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A41" s="33" t="s">
        <v>73</v>
      </c>
      <c r="B41" s="34">
        <v>778.0</v>
      </c>
      <c r="C41" s="35" t="s">
        <v>74</v>
      </c>
      <c r="D41" s="36">
        <v>46031.0</v>
      </c>
      <c r="E41" s="37" t="s">
        <v>35</v>
      </c>
      <c r="F41" s="2"/>
      <c r="H41" s="33" t="s">
        <v>75</v>
      </c>
      <c r="I41" s="34">
        <v>4745.95</v>
      </c>
      <c r="J41" s="38" t="s">
        <v>76</v>
      </c>
      <c r="K41" s="36">
        <v>46021.0</v>
      </c>
      <c r="L41" s="39" t="s">
        <v>35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33" t="s">
        <v>71</v>
      </c>
      <c r="B42" s="34">
        <v>1100.0</v>
      </c>
      <c r="C42" s="40" t="s">
        <v>77</v>
      </c>
      <c r="D42" s="36">
        <v>46035.0</v>
      </c>
      <c r="E42" s="39" t="s">
        <v>35</v>
      </c>
      <c r="F42" s="2"/>
      <c r="H42" s="33" t="s">
        <v>71</v>
      </c>
      <c r="I42" s="34">
        <v>2000.0</v>
      </c>
      <c r="J42" s="38" t="s">
        <v>72</v>
      </c>
      <c r="K42" s="41">
        <v>46022.0</v>
      </c>
      <c r="L42" s="39" t="s">
        <v>35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33" t="s">
        <v>71</v>
      </c>
      <c r="B43" s="34">
        <f>SUM(B15/2)</f>
        <v>2372.975</v>
      </c>
      <c r="C43" s="40" t="s">
        <v>78</v>
      </c>
      <c r="D43" s="36">
        <v>46035.0</v>
      </c>
      <c r="E43" s="39" t="s">
        <v>35</v>
      </c>
      <c r="F43" s="2"/>
      <c r="G43" s="2"/>
      <c r="H43" s="39" t="s">
        <v>71</v>
      </c>
      <c r="I43" s="34">
        <v>1090.0</v>
      </c>
      <c r="J43" s="38" t="s">
        <v>79</v>
      </c>
      <c r="K43" s="36">
        <v>46035.0</v>
      </c>
      <c r="L43" s="39" t="s">
        <v>35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42"/>
      <c r="B44" s="34">
        <v>0.0</v>
      </c>
      <c r="C44" s="43"/>
      <c r="D44" s="39" t="s">
        <v>21</v>
      </c>
      <c r="E44" s="39" t="s">
        <v>80</v>
      </c>
      <c r="F44" s="2"/>
      <c r="G44" s="2"/>
      <c r="H44" s="37"/>
      <c r="I44" s="34">
        <v>0.0</v>
      </c>
      <c r="J44" s="44"/>
      <c r="K44" s="39" t="s">
        <v>21</v>
      </c>
      <c r="L44" s="39" t="s">
        <v>80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42"/>
      <c r="B45" s="34">
        <v>0.0</v>
      </c>
      <c r="C45" s="43"/>
      <c r="D45" s="39" t="s">
        <v>21</v>
      </c>
      <c r="E45" s="39" t="s">
        <v>80</v>
      </c>
      <c r="F45" s="2"/>
      <c r="G45" s="2"/>
      <c r="H45" s="37"/>
      <c r="I45" s="34">
        <v>0.0</v>
      </c>
      <c r="J45" s="45"/>
      <c r="K45" s="39" t="s">
        <v>21</v>
      </c>
      <c r="L45" s="39" t="s">
        <v>80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42"/>
      <c r="B46" s="34">
        <v>0.0</v>
      </c>
      <c r="C46" s="43"/>
      <c r="D46" s="39" t="s">
        <v>21</v>
      </c>
      <c r="E46" s="39" t="s">
        <v>80</v>
      </c>
      <c r="F46" s="2"/>
      <c r="G46" s="2"/>
      <c r="H46" s="37"/>
      <c r="I46" s="34">
        <v>0.0</v>
      </c>
      <c r="J46" s="45"/>
      <c r="K46" s="39" t="s">
        <v>21</v>
      </c>
      <c r="L46" s="39" t="s">
        <v>80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42"/>
      <c r="B47" s="34">
        <v>0.0</v>
      </c>
      <c r="C47" s="46"/>
      <c r="D47" s="39" t="s">
        <v>21</v>
      </c>
      <c r="E47" s="39" t="s">
        <v>80</v>
      </c>
      <c r="F47" s="2"/>
      <c r="G47" s="2"/>
      <c r="H47" s="37"/>
      <c r="I47" s="34">
        <v>0.0</v>
      </c>
      <c r="J47" s="45"/>
      <c r="K47" s="39" t="s">
        <v>21</v>
      </c>
      <c r="L47" s="39" t="s">
        <v>80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D48" s="2"/>
      <c r="E48" s="2"/>
      <c r="F48" s="2"/>
      <c r="G48" s="2"/>
      <c r="H48" s="2"/>
      <c r="I48" s="34"/>
      <c r="J48" s="43"/>
      <c r="K48" s="39"/>
      <c r="L48" s="39"/>
      <c r="R48" s="2"/>
      <c r="S48" s="2"/>
      <c r="T48" s="2"/>
      <c r="U48" s="2"/>
      <c r="V48" s="2"/>
      <c r="W48" s="2"/>
      <c r="X48" s="2"/>
      <c r="Y48" s="2"/>
      <c r="Z48" s="2"/>
    </row>
    <row r="49">
      <c r="A49" s="47" t="s">
        <v>25</v>
      </c>
      <c r="B49" s="48">
        <f>SUM(B40:B47)</f>
        <v>6950.975</v>
      </c>
      <c r="C49" s="2"/>
      <c r="D49" s="2"/>
      <c r="E49" s="2"/>
      <c r="F49" s="2"/>
      <c r="G49" s="2"/>
      <c r="H49" s="47" t="s">
        <v>25</v>
      </c>
      <c r="I49" s="48">
        <f>SUM(I40:I47)</f>
        <v>9835.95</v>
      </c>
      <c r="J49" s="46"/>
      <c r="K49" s="39"/>
      <c r="L49" s="39"/>
      <c r="R49" s="2"/>
      <c r="S49" s="2"/>
      <c r="T49" s="2"/>
      <c r="U49" s="2"/>
      <c r="V49" s="2"/>
      <c r="W49" s="2"/>
      <c r="X49" s="2"/>
      <c r="Y49" s="2"/>
      <c r="Z49" s="2"/>
    </row>
    <row r="50">
      <c r="C50" s="2"/>
      <c r="D50" s="2"/>
      <c r="E50" s="2"/>
      <c r="F50" s="2"/>
      <c r="G50" s="2"/>
      <c r="H50" s="2"/>
      <c r="R50" s="2"/>
      <c r="S50" s="2"/>
      <c r="T50" s="2"/>
      <c r="U50" s="2"/>
      <c r="V50" s="2"/>
      <c r="W50" s="2"/>
      <c r="X50" s="2"/>
      <c r="Y50" s="2"/>
      <c r="Z50" s="2"/>
    </row>
    <row r="51">
      <c r="C51" s="2"/>
      <c r="D51" s="2"/>
      <c r="E51" s="2"/>
      <c r="F51" s="2"/>
      <c r="G51" s="2"/>
      <c r="H51" s="2"/>
      <c r="I51" s="2"/>
      <c r="J51" s="2"/>
      <c r="K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C54" s="2"/>
      <c r="D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C55" s="2"/>
      <c r="D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C56" s="2"/>
      <c r="D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J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J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J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J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J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J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J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J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J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J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J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J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J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J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J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A1:B1"/>
    <mergeCell ref="D1:F1"/>
    <mergeCell ref="H1:J1"/>
    <mergeCell ref="L1:N1"/>
    <mergeCell ref="L2:N2"/>
    <mergeCell ref="L3:N3"/>
    <mergeCell ref="L4:N4"/>
    <mergeCell ref="L9:N9"/>
    <mergeCell ref="N34:O34"/>
    <mergeCell ref="A38:E38"/>
    <mergeCell ref="H38:L38"/>
    <mergeCell ref="L5:N5"/>
    <mergeCell ref="L6:N6"/>
    <mergeCell ref="L7:N7"/>
    <mergeCell ref="L8:N8"/>
    <mergeCell ref="A12:E12"/>
    <mergeCell ref="G12:K12"/>
    <mergeCell ref="M12:Q12"/>
  </mergeCells>
  <dataValidations>
    <dataValidation type="list" allowBlank="1" showErrorMessage="1" sqref="K14:K26 Q14:Q26 E14:E32 E40:E47 L40:L49">
      <formula1>"Pendiente,Pagado"</formula1>
    </dataValidation>
  </dataValidations>
  <drawing r:id="rId1"/>
</worksheet>
</file>