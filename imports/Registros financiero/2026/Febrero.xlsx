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<sst xmlns="http://schemas.openxmlformats.org/spreadsheetml/2006/main" count="239" uniqueCount="91">
  <si>
    <t xml:space="preserve">Datos Generales </t>
  </si>
  <si>
    <t xml:space="preserve">Gastos Fijos </t>
  </si>
  <si>
    <t>Ahorro</t>
  </si>
  <si>
    <t>NOTAS</t>
  </si>
  <si>
    <t>Cobro</t>
  </si>
  <si>
    <t>Categorias</t>
  </si>
  <si>
    <t>Monto</t>
  </si>
  <si>
    <t>IVA</t>
  </si>
  <si>
    <t>Fecha de pago</t>
  </si>
  <si>
    <t>Objetivo</t>
  </si>
  <si>
    <t>Fecha de ingreso</t>
  </si>
  <si>
    <t>Mamá me presto 1100 para MCy le devolví 270</t>
  </si>
  <si>
    <t>Celular</t>
  </si>
  <si>
    <t>Mes anterior</t>
  </si>
  <si>
    <t xml:space="preserve">Beneficio </t>
  </si>
  <si>
    <t>Creditel</t>
  </si>
  <si>
    <t>Mes actual</t>
  </si>
  <si>
    <t>Itau</t>
  </si>
  <si>
    <t>PagoDespues</t>
  </si>
  <si>
    <t>Santander</t>
  </si>
  <si>
    <t>Internet</t>
  </si>
  <si>
    <t>Total</t>
  </si>
  <si>
    <t>Itau Alimentacion</t>
  </si>
  <si>
    <t>Veterinaria</t>
  </si>
  <si>
    <t>Brou</t>
  </si>
  <si>
    <t>Retroactivo Sdo</t>
  </si>
  <si>
    <t>Retroactivo alim</t>
  </si>
  <si>
    <t>COMPRAS ITAU</t>
  </si>
  <si>
    <t>COMPRAS SANTANDER</t>
  </si>
  <si>
    <t>COMPRAS ITAU ALIMENTACION</t>
  </si>
  <si>
    <t>Cosas</t>
  </si>
  <si>
    <t>Costo</t>
  </si>
  <si>
    <t xml:space="preserve">Fecha de pago </t>
  </si>
  <si>
    <t>Estado</t>
  </si>
  <si>
    <t xml:space="preserve">salsa y queso </t>
  </si>
  <si>
    <t>Pagado</t>
  </si>
  <si>
    <t>00/01/2026</t>
  </si>
  <si>
    <t>Macro</t>
  </si>
  <si>
    <t xml:space="preserve">cebolla y morrón </t>
  </si>
  <si>
    <t xml:space="preserve">bizcochos </t>
  </si>
  <si>
    <t xml:space="preserve">carne de salud </t>
  </si>
  <si>
    <t xml:space="preserve">Chorizos </t>
  </si>
  <si>
    <t>coca, cebolla y morron</t>
  </si>
  <si>
    <t>monster</t>
  </si>
  <si>
    <t>cidra</t>
  </si>
  <si>
    <t>malteadas</t>
  </si>
  <si>
    <t>Coca</t>
  </si>
  <si>
    <t xml:space="preserve">hamburguesa </t>
  </si>
  <si>
    <t xml:space="preserve">comida </t>
  </si>
  <si>
    <t xml:space="preserve">helado </t>
  </si>
  <si>
    <t>MC</t>
  </si>
  <si>
    <t>helados</t>
  </si>
  <si>
    <t xml:space="preserve">salsa y picada </t>
  </si>
  <si>
    <t xml:space="preserve">Santander </t>
  </si>
  <si>
    <t>Itau Alimentación</t>
  </si>
  <si>
    <t>burger king</t>
  </si>
  <si>
    <t>agua</t>
  </si>
  <si>
    <t>PRESTACIONES</t>
  </si>
  <si>
    <t>Resumen</t>
  </si>
  <si>
    <t xml:space="preserve">uber </t>
  </si>
  <si>
    <t xml:space="preserve">Persona </t>
  </si>
  <si>
    <t>Motivo</t>
  </si>
  <si>
    <t xml:space="preserve">Fecha </t>
  </si>
  <si>
    <t xml:space="preserve">Total gastos </t>
  </si>
  <si>
    <t xml:space="preserve">empanada </t>
  </si>
  <si>
    <t>Pendiente</t>
  </si>
  <si>
    <t>Total ahorros</t>
  </si>
  <si>
    <t>pastel de carne</t>
  </si>
  <si>
    <t>Tarjetas</t>
  </si>
  <si>
    <t>pure</t>
  </si>
  <si>
    <t>Efectivo</t>
  </si>
  <si>
    <t>devoto.</t>
  </si>
  <si>
    <t>mc</t>
  </si>
  <si>
    <t xml:space="preserve">Disponible </t>
  </si>
  <si>
    <t>nix</t>
  </si>
  <si>
    <t>McShake</t>
  </si>
  <si>
    <t>pan</t>
  </si>
  <si>
    <t xml:space="preserve">empanadas </t>
  </si>
  <si>
    <t>pizza</t>
  </si>
  <si>
    <t xml:space="preserve">soldador </t>
  </si>
  <si>
    <t>encendedor</t>
  </si>
  <si>
    <t>sensor hall</t>
  </si>
  <si>
    <t xml:space="preserve">Efectivo </t>
  </si>
  <si>
    <t>Notas</t>
  </si>
  <si>
    <t>Tenia</t>
  </si>
  <si>
    <t>compra devoto con mama</t>
  </si>
  <si>
    <t xml:space="preserve">pastel de carne </t>
  </si>
  <si>
    <t xml:space="preserve">Total </t>
  </si>
  <si>
    <t>DEVOLUCIONES</t>
  </si>
  <si>
    <t>mama</t>
  </si>
  <si>
    <t>compra de medicamento (ratil salil)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</si>
</sst>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d/mm/yyyy"/>
  </numFmts>
  <fonts count="7">
    <font>
      <sz val="10.0"/>
      <color rgb="FF000000"/>
      <name val="Arial"/>
      <scheme val="minor"/>
    </font>
    <font>
      <b/>
      <sz val="12.0"/>
      <color theme="1"/>
      <name val="Arial"/>
    </font>
    <font/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Alignment="1" applyFont="1">
      <alignment vertical="bottom"/>
    </xf>
    <xf borderId="1" fillId="3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4" fillId="0" fontId="4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readingOrder="0" vertical="bottom"/>
    </xf>
    <xf borderId="4" fillId="0" fontId="4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4" fillId="0" fontId="3" numFmtId="165" xfId="0" applyAlignment="1" applyBorder="1" applyFont="1" applyNumberFormat="1">
      <alignment readingOrder="0" vertical="bottom"/>
    </xf>
    <xf borderId="4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vertical="bottom"/>
    </xf>
    <xf borderId="4" fillId="4" fontId="4" numFmtId="0" xfId="0" applyAlignment="1" applyBorder="1" applyFill="1" applyFont="1">
      <alignment vertical="bottom"/>
    </xf>
    <xf borderId="0" fillId="5" fontId="3" numFmtId="0" xfId="0" applyAlignment="1" applyFill="1" applyFont="1">
      <alignment vertical="bottom"/>
    </xf>
    <xf borderId="4" fillId="6" fontId="4" numFmtId="0" xfId="0" applyAlignment="1" applyBorder="1" applyFill="1" applyFont="1">
      <alignment vertical="bottom"/>
    </xf>
    <xf borderId="4" fillId="2" fontId="4" numFmtId="0" xfId="0" applyAlignment="1" applyBorder="1" applyFont="1">
      <alignment readingOrder="0" vertical="bottom"/>
    </xf>
    <xf borderId="4" fillId="2" fontId="3" numFmtId="164" xfId="0" applyAlignment="1" applyBorder="1" applyFont="1" applyNumberFormat="1">
      <alignment horizontal="right" vertical="bottom"/>
    </xf>
    <xf borderId="4" fillId="7" fontId="4" numFmtId="0" xfId="0" applyAlignment="1" applyBorder="1" applyFill="1" applyFont="1">
      <alignment vertical="bottom"/>
    </xf>
    <xf borderId="4" fillId="8" fontId="4" numFmtId="0" xfId="0" applyAlignment="1" applyBorder="1" applyFill="1" applyFont="1">
      <alignment vertical="bottom"/>
    </xf>
    <xf borderId="4" fillId="0" fontId="5" numFmtId="0" xfId="0" applyBorder="1" applyFont="1"/>
    <xf borderId="4" fillId="5" fontId="3" numFmtId="0" xfId="0" applyAlignment="1" applyBorder="1" applyFont="1">
      <alignment readingOrder="0" vertical="bottom"/>
    </xf>
    <xf borderId="4" fillId="3" fontId="4" numFmtId="0" xfId="0" applyAlignment="1" applyBorder="1" applyFont="1">
      <alignment vertical="bottom"/>
    </xf>
    <xf borderId="4" fillId="3" fontId="3" numFmtId="164" xfId="0" applyAlignment="1" applyBorder="1" applyFont="1" applyNumberFormat="1">
      <alignment horizontal="right" vertical="bottom"/>
    </xf>
    <xf borderId="4" fillId="3" fontId="3" numFmtId="164" xfId="0" applyAlignment="1" applyBorder="1" applyFont="1" applyNumberFormat="1">
      <alignment vertical="bottom"/>
    </xf>
    <xf borderId="4" fillId="3" fontId="3" numFmtId="0" xfId="0" applyAlignment="1" applyBorder="1" applyFont="1">
      <alignment vertical="bottom"/>
    </xf>
    <xf borderId="1" fillId="4" fontId="1" numFmtId="0" xfId="0" applyAlignment="1" applyBorder="1" applyFont="1">
      <alignment horizontal="center" readingOrder="0" vertical="bottom"/>
    </xf>
    <xf borderId="1" fillId="7" fontId="1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1" fillId="2" fontId="4" numFmtId="0" xfId="0" applyAlignment="1" applyBorder="1" applyFont="1">
      <alignment horizontal="center" vertical="bottom"/>
    </xf>
    <xf borderId="4" fillId="0" fontId="3" numFmtId="0" xfId="0" applyBorder="1" applyFont="1"/>
    <xf borderId="4" fillId="0" fontId="3" numFmtId="164" xfId="0" applyAlignment="1" applyBorder="1" applyFont="1" applyNumberFormat="1">
      <alignment horizontal="right"/>
    </xf>
    <xf borderId="4" fillId="0" fontId="3" numFmtId="0" xfId="0" applyAlignment="1" applyBorder="1" applyFont="1">
      <alignment shrinkToFit="0" wrapText="1"/>
    </xf>
    <xf borderId="4" fillId="0" fontId="6" numFmtId="0" xfId="0" applyAlignment="1" applyBorder="1" applyFont="1">
      <alignment readingOrder="0"/>
    </xf>
    <xf borderId="4" fillId="0" fontId="5" numFmtId="164" xfId="0" applyBorder="1" applyFont="1" applyNumberFormat="1"/>
    <xf borderId="4" fillId="0" fontId="3" numFmtId="164" xfId="0" applyBorder="1" applyFont="1" applyNumberFormat="1"/>
    <xf borderId="4" fillId="2" fontId="4" numFmtId="0" xfId="0" applyAlignment="1" applyBorder="1" applyFont="1">
      <alignment vertical="bottom"/>
    </xf>
    <xf borderId="1" fillId="9" fontId="5" numFmtId="0" xfId="0" applyAlignment="1" applyBorder="1" applyFill="1" applyFont="1">
      <alignment horizontal="center" readingOrder="0"/>
    </xf>
    <xf borderId="3" fillId="0" fontId="2" numFmtId="0" xfId="0" applyBorder="1" applyFont="1"/>
    <xf borderId="2" fillId="0" fontId="2" numFmtId="0" xfId="0" applyBorder="1" applyFont="1"/>
    <xf borderId="4" fillId="0" fontId="6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4" fillId="0" fontId="3" numFmtId="164" xfId="0" applyAlignment="1" applyBorder="1" applyFont="1" applyNumberFormat="1">
      <alignment horizontal="right" readingOrder="0" vertical="bottom"/>
    </xf>
    <xf borderId="4" fillId="0" fontId="3" numFmtId="164" xfId="0" applyAlignment="1" applyBorder="1" applyFont="1" applyNumberFormat="1">
      <alignment horizontal="right" vertical="bottom"/>
    </xf>
    <xf borderId="4" fillId="0" fontId="5" numFmtId="164" xfId="0" applyBorder="1" applyFont="1" applyNumberFormat="1"/>
    <xf borderId="4" fillId="0" fontId="3" numFmtId="0" xfId="0" applyAlignment="1" applyBorder="1" applyFont="1">
      <alignment readingOrder="0" vertical="center"/>
    </xf>
    <xf borderId="4" fillId="0" fontId="3" numFmtId="164" xfId="0" applyAlignment="1" applyBorder="1" applyFont="1" applyNumberFormat="1">
      <alignment horizontal="right" readingOrder="0" vertical="center"/>
    </xf>
    <xf borderId="4" fillId="0" fontId="3" numFmtId="0" xfId="0" applyAlignment="1" applyBorder="1" applyFont="1">
      <alignment readingOrder="0" shrinkToFit="0" vertical="center" wrapText="1"/>
    </xf>
    <xf borderId="4" fillId="0" fontId="3" numFmtId="165" xfId="0" applyAlignment="1" applyBorder="1" applyFont="1" applyNumberFormat="1">
      <alignment readingOrder="0" vertical="center"/>
    </xf>
    <xf borderId="4" fillId="0" fontId="3" numFmtId="0" xfId="0" applyAlignment="1" applyBorder="1" applyFont="1">
      <alignment vertical="center"/>
    </xf>
    <xf borderId="4" fillId="0" fontId="3" numFmtId="164" xfId="0" applyAlignment="1" applyBorder="1" applyFont="1" applyNumberFormat="1">
      <alignment horizontal="right" vertical="center"/>
    </xf>
    <xf borderId="4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13"/>
    <col customWidth="1" min="10" max="10" width="15.0"/>
    <col customWidth="1" min="11" max="11" width="16.25"/>
  </cols>
  <sheetData>
    <row r="1">
      <c r="A1" s="1" t="s">
        <v>0</v>
      </c>
      <c r="B1" s="2"/>
      <c r="C1" s="3"/>
      <c r="D1" s="4" t="s">
        <v>1</v>
      </c>
      <c r="E1" s="5"/>
      <c r="F1" s="5"/>
      <c r="G1" s="2"/>
      <c r="I1" s="1" t="s">
        <v>2</v>
      </c>
      <c r="J1" s="5"/>
      <c r="K1" s="2"/>
      <c r="M1" s="4" t="s">
        <v>3</v>
      </c>
      <c r="N1" s="5"/>
      <c r="O1" s="2"/>
      <c r="S1" s="3"/>
      <c r="T1" s="3"/>
      <c r="U1" s="3"/>
      <c r="V1" s="3"/>
      <c r="W1" s="3"/>
      <c r="X1" s="3"/>
      <c r="Y1" s="3"/>
      <c r="Z1" s="3"/>
    </row>
    <row r="2">
      <c r="A2" s="6" t="s">
        <v>4</v>
      </c>
      <c r="B2" s="7">
        <v>26918.0</v>
      </c>
      <c r="C2" s="3"/>
      <c r="D2" s="6" t="s">
        <v>5</v>
      </c>
      <c r="E2" s="6" t="s">
        <v>6</v>
      </c>
      <c r="F2" s="8" t="s">
        <v>7</v>
      </c>
      <c r="G2" s="6" t="s">
        <v>8</v>
      </c>
      <c r="I2" s="6" t="s">
        <v>9</v>
      </c>
      <c r="J2" s="6" t="s">
        <v>6</v>
      </c>
      <c r="K2" s="6" t="s">
        <v>10</v>
      </c>
      <c r="M2" s="9" t="s">
        <v>11</v>
      </c>
      <c r="N2" s="5"/>
      <c r="O2" s="2"/>
      <c r="S2" s="3"/>
      <c r="T2" s="3"/>
      <c r="U2" s="3"/>
      <c r="V2" s="3"/>
      <c r="W2" s="3"/>
      <c r="X2" s="3"/>
      <c r="Y2" s="3"/>
      <c r="Z2" s="3"/>
    </row>
    <row r="3">
      <c r="A3" s="6" t="s">
        <v>10</v>
      </c>
      <c r="B3" s="10">
        <v>46055.0</v>
      </c>
      <c r="C3" s="3"/>
      <c r="D3" s="11" t="s">
        <v>12</v>
      </c>
      <c r="E3" s="7">
        <v>2119.95</v>
      </c>
      <c r="F3" s="7">
        <v>34.75</v>
      </c>
      <c r="G3" s="10">
        <v>46055.0</v>
      </c>
      <c r="I3" s="8" t="s">
        <v>13</v>
      </c>
      <c r="J3" s="7">
        <v>2000.0</v>
      </c>
      <c r="K3" s="10">
        <v>46021.0</v>
      </c>
      <c r="M3" s="12"/>
      <c r="N3" s="5"/>
      <c r="O3" s="2"/>
      <c r="S3" s="3"/>
      <c r="T3" s="3"/>
      <c r="U3" s="3"/>
      <c r="V3" s="3"/>
      <c r="W3" s="3"/>
      <c r="X3" s="3"/>
      <c r="Y3" s="3"/>
      <c r="Z3" s="3"/>
    </row>
    <row r="4">
      <c r="A4" s="6" t="s">
        <v>14</v>
      </c>
      <c r="B4" s="7">
        <v>1300.0</v>
      </c>
      <c r="C4" s="3"/>
      <c r="D4" s="11" t="s">
        <v>15</v>
      </c>
      <c r="E4" s="7">
        <v>5981.41</v>
      </c>
      <c r="F4" s="13">
        <v>0.0</v>
      </c>
      <c r="G4" s="10">
        <v>46058.0</v>
      </c>
      <c r="I4" s="8" t="s">
        <v>16</v>
      </c>
      <c r="J4" s="7">
        <v>8000.0</v>
      </c>
      <c r="K4" s="10">
        <v>46057.0</v>
      </c>
      <c r="M4" s="12"/>
      <c r="N4" s="5"/>
      <c r="O4" s="2"/>
      <c r="S4" s="3"/>
      <c r="T4" s="3"/>
      <c r="U4" s="3"/>
      <c r="V4" s="3"/>
      <c r="W4" s="3"/>
      <c r="X4" s="3"/>
      <c r="Y4" s="3"/>
      <c r="Z4" s="3"/>
    </row>
    <row r="5">
      <c r="A5" s="14" t="s">
        <v>17</v>
      </c>
      <c r="B5" s="7">
        <v>171.07</v>
      </c>
      <c r="C5" s="15"/>
      <c r="D5" s="11" t="s">
        <v>18</v>
      </c>
      <c r="E5" s="7">
        <v>1748.0</v>
      </c>
      <c r="F5" s="7">
        <v>0.35</v>
      </c>
      <c r="G5" s="10">
        <v>46055.0</v>
      </c>
      <c r="I5" s="11"/>
      <c r="J5" s="11"/>
      <c r="K5" s="11"/>
      <c r="M5" s="12"/>
      <c r="N5" s="5"/>
      <c r="O5" s="2"/>
      <c r="S5" s="3"/>
      <c r="T5" s="3"/>
      <c r="U5" s="3"/>
      <c r="V5" s="3"/>
      <c r="W5" s="3"/>
      <c r="X5" s="3"/>
      <c r="Y5" s="3"/>
      <c r="Z5" s="3"/>
    </row>
    <row r="6">
      <c r="A6" s="16" t="s">
        <v>19</v>
      </c>
      <c r="B6" s="7">
        <v>0.18</v>
      </c>
      <c r="C6" s="15"/>
      <c r="D6" s="11" t="s">
        <v>20</v>
      </c>
      <c r="E6" s="7">
        <v>1760.0</v>
      </c>
      <c r="F6" s="7">
        <v>18.84</v>
      </c>
      <c r="G6" s="10">
        <v>46069.0</v>
      </c>
      <c r="I6" s="17" t="s">
        <v>21</v>
      </c>
      <c r="J6" s="18">
        <f>SUM(J3:J4)</f>
        <v>10000</v>
      </c>
      <c r="K6" s="11"/>
      <c r="M6" s="12"/>
      <c r="N6" s="5"/>
      <c r="O6" s="2"/>
      <c r="S6" s="3"/>
      <c r="T6" s="3"/>
      <c r="U6" s="3"/>
      <c r="V6" s="3"/>
      <c r="W6" s="3"/>
      <c r="X6" s="3"/>
      <c r="Y6" s="3"/>
      <c r="Z6" s="3"/>
    </row>
    <row r="7">
      <c r="A7" s="19" t="s">
        <v>22</v>
      </c>
      <c r="B7" s="7">
        <f>3720+181.72</f>
        <v>3901.72</v>
      </c>
      <c r="C7" s="15"/>
      <c r="D7" s="11" t="s">
        <v>23</v>
      </c>
      <c r="E7" s="7">
        <v>350.0</v>
      </c>
      <c r="F7" s="7">
        <v>5.74</v>
      </c>
      <c r="G7" s="10">
        <v>46062.0</v>
      </c>
      <c r="H7" s="3"/>
      <c r="M7" s="12"/>
      <c r="N7" s="5"/>
      <c r="O7" s="2"/>
      <c r="S7" s="3"/>
      <c r="T7" s="3"/>
      <c r="U7" s="3"/>
      <c r="V7" s="3"/>
      <c r="W7" s="3"/>
      <c r="X7" s="3"/>
      <c r="Y7" s="3"/>
      <c r="Z7" s="3"/>
    </row>
    <row r="8">
      <c r="A8" s="20" t="s">
        <v>24</v>
      </c>
      <c r="B8" s="13">
        <f>J6</f>
        <v>10000</v>
      </c>
      <c r="C8" s="15"/>
      <c r="D8" s="21"/>
      <c r="E8" s="21"/>
      <c r="F8" s="21"/>
      <c r="G8" s="21"/>
      <c r="H8" s="3"/>
      <c r="M8" s="12"/>
      <c r="N8" s="5"/>
      <c r="O8" s="2"/>
      <c r="S8" s="3"/>
      <c r="T8" s="3"/>
      <c r="U8" s="3"/>
      <c r="V8" s="3"/>
      <c r="W8" s="3"/>
      <c r="X8" s="3"/>
      <c r="Y8" s="3"/>
      <c r="Z8" s="3"/>
    </row>
    <row r="9">
      <c r="A9" s="22" t="s">
        <v>25</v>
      </c>
      <c r="B9" s="7">
        <v>985.0</v>
      </c>
      <c r="C9" s="15"/>
      <c r="D9" s="23" t="s">
        <v>21</v>
      </c>
      <c r="E9" s="24">
        <f t="shared" ref="E9:F9" si="1">SUM(E3:E7)</f>
        <v>11959.36</v>
      </c>
      <c r="F9" s="25">
        <f t="shared" si="1"/>
        <v>59.68</v>
      </c>
      <c r="G9" s="26"/>
      <c r="H9" s="3"/>
      <c r="M9" s="12"/>
      <c r="N9" s="5"/>
      <c r="O9" s="2"/>
      <c r="S9" s="3"/>
      <c r="T9" s="3"/>
      <c r="U9" s="3"/>
      <c r="V9" s="3"/>
      <c r="W9" s="3"/>
      <c r="X9" s="3"/>
      <c r="Y9" s="3"/>
      <c r="Z9" s="3"/>
    </row>
    <row r="10">
      <c r="A10" s="22" t="s">
        <v>26</v>
      </c>
      <c r="B10" s="7">
        <v>136.0</v>
      </c>
      <c r="C10" s="3"/>
      <c r="D10" s="3"/>
      <c r="E10" s="3"/>
      <c r="F10" s="3"/>
      <c r="G10" s="3"/>
      <c r="H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7" t="s">
        <v>27</v>
      </c>
      <c r="B12" s="5"/>
      <c r="C12" s="5"/>
      <c r="D12" s="5"/>
      <c r="E12" s="2"/>
      <c r="F12" s="3"/>
      <c r="G12" s="4" t="s">
        <v>28</v>
      </c>
      <c r="H12" s="5"/>
      <c r="I12" s="5"/>
      <c r="J12" s="5"/>
      <c r="K12" s="2"/>
      <c r="L12" s="3"/>
      <c r="M12" s="28" t="s">
        <v>29</v>
      </c>
      <c r="N12" s="5"/>
      <c r="O12" s="5"/>
      <c r="P12" s="5"/>
      <c r="Q12" s="2"/>
      <c r="R12" s="3"/>
      <c r="S12" s="3"/>
      <c r="T12" s="3"/>
      <c r="U12" s="3"/>
      <c r="V12" s="3"/>
      <c r="W12" s="3"/>
      <c r="X12" s="3"/>
      <c r="Y12" s="3"/>
      <c r="Z12" s="3"/>
    </row>
    <row r="13">
      <c r="A13" s="29" t="s">
        <v>30</v>
      </c>
      <c r="B13" s="29" t="s">
        <v>31</v>
      </c>
      <c r="C13" s="29" t="s">
        <v>7</v>
      </c>
      <c r="D13" s="29" t="s">
        <v>32</v>
      </c>
      <c r="E13" s="29" t="s">
        <v>33</v>
      </c>
      <c r="F13" s="3"/>
      <c r="G13" s="29" t="s">
        <v>30</v>
      </c>
      <c r="H13" s="29" t="s">
        <v>31</v>
      </c>
      <c r="I13" s="29" t="s">
        <v>7</v>
      </c>
      <c r="J13" s="29" t="s">
        <v>32</v>
      </c>
      <c r="K13" s="29" t="s">
        <v>33</v>
      </c>
      <c r="L13" s="3"/>
      <c r="M13" s="29" t="s">
        <v>30</v>
      </c>
      <c r="N13" s="29" t="s">
        <v>31</v>
      </c>
      <c r="O13" s="29" t="s">
        <v>7</v>
      </c>
      <c r="P13" s="29" t="s">
        <v>32</v>
      </c>
      <c r="Q13" s="29" t="s">
        <v>33</v>
      </c>
      <c r="R13" s="3"/>
      <c r="S13" s="3"/>
      <c r="T13" s="3"/>
      <c r="U13" s="3"/>
      <c r="V13" s="3"/>
      <c r="W13" s="3"/>
      <c r="X13" s="3"/>
      <c r="Y13" s="3"/>
      <c r="Z13" s="3"/>
    </row>
    <row r="14">
      <c r="A14" s="30" t="s">
        <v>34</v>
      </c>
      <c r="B14" s="7">
        <v>133.77</v>
      </c>
      <c r="C14" s="13">
        <v>0.0</v>
      </c>
      <c r="D14" s="10">
        <v>46054.0</v>
      </c>
      <c r="E14" s="11" t="s">
        <v>35</v>
      </c>
      <c r="F14" s="3"/>
      <c r="G14" s="11"/>
      <c r="H14" s="13">
        <v>0.0</v>
      </c>
      <c r="I14" s="13">
        <v>0.0</v>
      </c>
      <c r="J14" s="11" t="s">
        <v>36</v>
      </c>
      <c r="K14" s="11" t="s">
        <v>35</v>
      </c>
      <c r="L14" s="3"/>
      <c r="M14" s="30" t="s">
        <v>37</v>
      </c>
      <c r="N14" s="7">
        <v>3090.0</v>
      </c>
      <c r="O14" s="7">
        <v>50.17</v>
      </c>
      <c r="P14" s="10">
        <v>46026.0</v>
      </c>
      <c r="Q14" s="11" t="s">
        <v>35</v>
      </c>
      <c r="R14" s="3"/>
      <c r="S14" s="3"/>
      <c r="T14" s="3"/>
      <c r="U14" s="3"/>
      <c r="V14" s="3"/>
      <c r="W14" s="3"/>
      <c r="X14" s="3"/>
      <c r="Y14" s="3"/>
      <c r="Z14" s="3"/>
    </row>
    <row r="15">
      <c r="A15" s="30" t="s">
        <v>38</v>
      </c>
      <c r="B15" s="7">
        <v>31.0</v>
      </c>
      <c r="C15" s="13">
        <v>0.0</v>
      </c>
      <c r="D15" s="10">
        <v>46054.0</v>
      </c>
      <c r="E15" s="11" t="s">
        <v>35</v>
      </c>
      <c r="F15" s="3"/>
      <c r="G15" s="11"/>
      <c r="H15" s="13">
        <v>0.0</v>
      </c>
      <c r="I15" s="13">
        <v>0.0</v>
      </c>
      <c r="J15" s="11" t="s">
        <v>36</v>
      </c>
      <c r="K15" s="11" t="s">
        <v>35</v>
      </c>
      <c r="L15" s="3"/>
      <c r="M15" s="30" t="s">
        <v>39</v>
      </c>
      <c r="N15" s="7">
        <v>243.0</v>
      </c>
      <c r="O15" s="7">
        <v>3.98</v>
      </c>
      <c r="P15" s="10">
        <v>46028.0</v>
      </c>
      <c r="Q15" s="11" t="s">
        <v>35</v>
      </c>
      <c r="R15" s="3"/>
      <c r="S15" s="3"/>
      <c r="T15" s="3"/>
      <c r="U15" s="3"/>
      <c r="V15" s="3"/>
      <c r="W15" s="3"/>
      <c r="X15" s="3"/>
      <c r="Y15" s="3"/>
      <c r="Z15" s="3"/>
    </row>
    <row r="16">
      <c r="A16" s="30" t="s">
        <v>40</v>
      </c>
      <c r="B16" s="7">
        <v>1600.0</v>
      </c>
      <c r="C16" s="7">
        <v>26.23</v>
      </c>
      <c r="D16" s="10">
        <v>46056.0</v>
      </c>
      <c r="E16" s="11" t="s">
        <v>35</v>
      </c>
      <c r="F16" s="3"/>
      <c r="G16" s="11"/>
      <c r="H16" s="13">
        <v>0.0</v>
      </c>
      <c r="I16" s="13">
        <v>0.0</v>
      </c>
      <c r="J16" s="11" t="s">
        <v>36</v>
      </c>
      <c r="K16" s="11" t="s">
        <v>35</v>
      </c>
      <c r="L16" s="3"/>
      <c r="M16" s="30" t="s">
        <v>41</v>
      </c>
      <c r="N16" s="7">
        <v>488.95</v>
      </c>
      <c r="O16" s="7">
        <v>8.02</v>
      </c>
      <c r="P16" s="10">
        <v>46033.0</v>
      </c>
      <c r="Q16" s="11" t="s">
        <v>35</v>
      </c>
      <c r="R16" s="3"/>
      <c r="S16" s="3"/>
      <c r="T16" s="3"/>
      <c r="U16" s="3"/>
      <c r="V16" s="3"/>
      <c r="W16" s="3"/>
      <c r="X16" s="3"/>
      <c r="Y16" s="3"/>
      <c r="Z16" s="3"/>
    </row>
    <row r="17">
      <c r="A17" s="30" t="s">
        <v>42</v>
      </c>
      <c r="B17" s="7">
        <v>164.0</v>
      </c>
      <c r="C17" s="13">
        <v>0.0</v>
      </c>
      <c r="D17" s="10">
        <v>46056.0</v>
      </c>
      <c r="E17" s="11" t="s">
        <v>35</v>
      </c>
      <c r="F17" s="3"/>
      <c r="G17" s="11"/>
      <c r="H17" s="13">
        <v>0.0</v>
      </c>
      <c r="I17" s="13">
        <v>0.0</v>
      </c>
      <c r="J17" s="11" t="s">
        <v>36</v>
      </c>
      <c r="K17" s="11" t="s">
        <v>35</v>
      </c>
      <c r="L17" s="3"/>
      <c r="M17" s="30" t="s">
        <v>43</v>
      </c>
      <c r="N17" s="7">
        <v>114.0</v>
      </c>
      <c r="O17" s="7">
        <v>1.87</v>
      </c>
      <c r="P17" s="10">
        <v>46039.0</v>
      </c>
      <c r="Q17" s="11" t="s">
        <v>35</v>
      </c>
      <c r="R17" s="3"/>
      <c r="S17" s="3"/>
      <c r="T17" s="3"/>
      <c r="U17" s="3"/>
      <c r="V17" s="3"/>
      <c r="W17" s="3"/>
      <c r="X17" s="3"/>
      <c r="Y17" s="3"/>
      <c r="Z17" s="3"/>
    </row>
    <row r="18">
      <c r="A18" s="30" t="s">
        <v>44</v>
      </c>
      <c r="B18" s="7">
        <v>100.0</v>
      </c>
      <c r="C18" s="13">
        <v>0.0</v>
      </c>
      <c r="D18" s="10">
        <v>46057.0</v>
      </c>
      <c r="E18" s="11" t="s">
        <v>35</v>
      </c>
      <c r="F18" s="3"/>
      <c r="G18" s="11"/>
      <c r="H18" s="13">
        <v>0.0</v>
      </c>
      <c r="I18" s="13">
        <v>0.0</v>
      </c>
      <c r="J18" s="11" t="s">
        <v>36</v>
      </c>
      <c r="K18" s="11" t="s">
        <v>35</v>
      </c>
      <c r="L18" s="3"/>
      <c r="M18" s="11"/>
      <c r="N18" s="13">
        <v>0.0</v>
      </c>
      <c r="O18" s="13">
        <v>0.0</v>
      </c>
      <c r="P18" s="11" t="s">
        <v>36</v>
      </c>
      <c r="Q18" s="11" t="s">
        <v>35</v>
      </c>
      <c r="R18" s="3"/>
      <c r="S18" s="3"/>
      <c r="T18" s="3"/>
      <c r="U18" s="3"/>
      <c r="V18" s="3"/>
      <c r="W18" s="3"/>
      <c r="X18" s="3"/>
      <c r="Y18" s="3"/>
      <c r="Z18" s="3"/>
    </row>
    <row r="19">
      <c r="A19" s="30" t="s">
        <v>45</v>
      </c>
      <c r="B19" s="7">
        <v>169.0</v>
      </c>
      <c r="C19" s="7">
        <v>2.77</v>
      </c>
      <c r="D19" s="10">
        <v>46058.0</v>
      </c>
      <c r="E19" s="11" t="s">
        <v>35</v>
      </c>
      <c r="F19" s="3"/>
      <c r="G19" s="11"/>
      <c r="H19" s="13">
        <v>0.0</v>
      </c>
      <c r="I19" s="13">
        <v>0.0</v>
      </c>
      <c r="J19" s="11" t="s">
        <v>36</v>
      </c>
      <c r="K19" s="11" t="s">
        <v>35</v>
      </c>
      <c r="L19" s="3"/>
      <c r="M19" s="11"/>
      <c r="N19" s="13">
        <v>0.0</v>
      </c>
      <c r="O19" s="13">
        <v>0.0</v>
      </c>
      <c r="P19" s="11" t="s">
        <v>36</v>
      </c>
      <c r="Q19" s="11" t="s">
        <v>35</v>
      </c>
      <c r="R19" s="3"/>
      <c r="S19" s="3"/>
      <c r="T19" s="3"/>
      <c r="U19" s="3"/>
      <c r="V19" s="3"/>
      <c r="W19" s="3"/>
      <c r="X19" s="3"/>
      <c r="Y19" s="3"/>
      <c r="Z19" s="3"/>
    </row>
    <row r="20">
      <c r="A20" s="30" t="s">
        <v>43</v>
      </c>
      <c r="B20" s="7">
        <v>110.0</v>
      </c>
      <c r="C20" s="13">
        <v>0.0</v>
      </c>
      <c r="D20" s="10">
        <v>46058.0</v>
      </c>
      <c r="E20" s="11" t="s">
        <v>35</v>
      </c>
      <c r="F20" s="3"/>
      <c r="G20" s="11"/>
      <c r="H20" s="13">
        <v>0.0</v>
      </c>
      <c r="I20" s="13">
        <v>0.0</v>
      </c>
      <c r="J20" s="11" t="s">
        <v>36</v>
      </c>
      <c r="K20" s="11" t="s">
        <v>35</v>
      </c>
      <c r="L20" s="3"/>
      <c r="M20" s="11"/>
      <c r="N20" s="13">
        <v>0.0</v>
      </c>
      <c r="O20" s="13">
        <v>0.0</v>
      </c>
      <c r="P20" s="11" t="s">
        <v>36</v>
      </c>
      <c r="Q20" s="11" t="s">
        <v>35</v>
      </c>
      <c r="R20" s="3"/>
      <c r="S20" s="3"/>
      <c r="T20" s="3"/>
      <c r="U20" s="3"/>
      <c r="V20" s="3"/>
      <c r="W20" s="3"/>
      <c r="X20" s="3"/>
      <c r="Y20" s="3"/>
      <c r="Z20" s="3"/>
    </row>
    <row r="21">
      <c r="A21" s="30" t="s">
        <v>46</v>
      </c>
      <c r="B21" s="7">
        <v>130.0</v>
      </c>
      <c r="C21" s="7">
        <v>2.13</v>
      </c>
      <c r="D21" s="10">
        <v>46062.0</v>
      </c>
      <c r="E21" s="11" t="s">
        <v>35</v>
      </c>
      <c r="F21" s="3"/>
      <c r="G21" s="11"/>
      <c r="H21" s="13">
        <v>0.0</v>
      </c>
      <c r="I21" s="13">
        <v>0.0</v>
      </c>
      <c r="J21" s="11" t="s">
        <v>36</v>
      </c>
      <c r="K21" s="11" t="s">
        <v>35</v>
      </c>
      <c r="L21" s="3"/>
      <c r="M21" s="11"/>
      <c r="N21" s="13">
        <v>0.0</v>
      </c>
      <c r="O21" s="13">
        <v>0.0</v>
      </c>
      <c r="P21" s="11" t="s">
        <v>36</v>
      </c>
      <c r="Q21" s="11" t="s">
        <v>35</v>
      </c>
      <c r="R21" s="3"/>
      <c r="S21" s="3"/>
      <c r="T21" s="3"/>
      <c r="U21" s="3"/>
      <c r="V21" s="3"/>
      <c r="W21" s="3"/>
      <c r="X21" s="3"/>
      <c r="Y21" s="3"/>
      <c r="Z21" s="3"/>
    </row>
    <row r="22">
      <c r="A22" s="30" t="s">
        <v>47</v>
      </c>
      <c r="B22" s="7">
        <v>105.0</v>
      </c>
      <c r="C22" s="7">
        <v>1.72</v>
      </c>
      <c r="D22" s="10">
        <v>46062.0</v>
      </c>
      <c r="E22" s="11" t="s">
        <v>35</v>
      </c>
      <c r="F22" s="3"/>
      <c r="G22" s="11"/>
      <c r="H22" s="13">
        <v>0.0</v>
      </c>
      <c r="I22" s="13">
        <v>0.0</v>
      </c>
      <c r="J22" s="11" t="s">
        <v>36</v>
      </c>
      <c r="K22" s="11" t="s">
        <v>35</v>
      </c>
      <c r="L22" s="3"/>
      <c r="M22" s="11"/>
      <c r="N22" s="13">
        <v>0.0</v>
      </c>
      <c r="O22" s="13">
        <v>0.0</v>
      </c>
      <c r="P22" s="11" t="s">
        <v>36</v>
      </c>
      <c r="Q22" s="11" t="s">
        <v>35</v>
      </c>
      <c r="R22" s="3"/>
      <c r="S22" s="3"/>
      <c r="T22" s="3"/>
      <c r="U22" s="3"/>
      <c r="V22" s="3"/>
      <c r="W22" s="3"/>
      <c r="X22" s="3"/>
      <c r="Y22" s="3"/>
      <c r="Z22" s="3"/>
    </row>
    <row r="23">
      <c r="A23" s="30" t="s">
        <v>48</v>
      </c>
      <c r="B23" s="7">
        <v>250.0</v>
      </c>
      <c r="C23" s="13">
        <v>0.0</v>
      </c>
      <c r="D23" s="10">
        <v>46063.0</v>
      </c>
      <c r="E23" s="11" t="s">
        <v>35</v>
      </c>
      <c r="F23" s="3"/>
      <c r="G23" s="11"/>
      <c r="H23" s="13">
        <v>0.0</v>
      </c>
      <c r="I23" s="13">
        <v>0.0</v>
      </c>
      <c r="J23" s="11" t="s">
        <v>36</v>
      </c>
      <c r="K23" s="11" t="s">
        <v>35</v>
      </c>
      <c r="L23" s="3"/>
      <c r="M23" s="11"/>
      <c r="N23" s="13">
        <v>0.0</v>
      </c>
      <c r="O23" s="13">
        <v>0.0</v>
      </c>
      <c r="P23" s="11" t="s">
        <v>36</v>
      </c>
      <c r="Q23" s="11" t="s">
        <v>35</v>
      </c>
      <c r="R23" s="3"/>
      <c r="S23" s="3"/>
      <c r="T23" s="3"/>
      <c r="U23" s="3"/>
      <c r="V23" s="3"/>
      <c r="W23" s="3"/>
      <c r="X23" s="3"/>
      <c r="Y23" s="3"/>
      <c r="Z23" s="3"/>
    </row>
    <row r="24">
      <c r="A24" s="30" t="s">
        <v>49</v>
      </c>
      <c r="B24" s="7">
        <v>358.0</v>
      </c>
      <c r="C24" s="7">
        <v>26.41</v>
      </c>
      <c r="D24" s="10">
        <v>46063.0</v>
      </c>
      <c r="E24" s="11" t="s">
        <v>35</v>
      </c>
      <c r="F24" s="3"/>
      <c r="G24" s="11"/>
      <c r="H24" s="13">
        <v>0.0</v>
      </c>
      <c r="I24" s="13">
        <v>0.0</v>
      </c>
      <c r="J24" s="11" t="s">
        <v>36</v>
      </c>
      <c r="K24" s="11" t="s">
        <v>35</v>
      </c>
      <c r="L24" s="3"/>
      <c r="M24" s="11"/>
      <c r="N24" s="13">
        <v>0.0</v>
      </c>
      <c r="O24" s="13">
        <v>0.0</v>
      </c>
      <c r="P24" s="11" t="s">
        <v>36</v>
      </c>
      <c r="Q24" s="11" t="s">
        <v>35</v>
      </c>
      <c r="R24" s="3"/>
      <c r="S24" s="3"/>
      <c r="T24" s="3"/>
      <c r="U24" s="3"/>
      <c r="V24" s="3"/>
      <c r="W24" s="3"/>
      <c r="X24" s="3"/>
      <c r="Y24" s="3"/>
      <c r="Z24" s="3"/>
    </row>
    <row r="25">
      <c r="A25" s="30" t="s">
        <v>44</v>
      </c>
      <c r="B25" s="7">
        <v>105.0</v>
      </c>
      <c r="C25" s="7">
        <v>1.72</v>
      </c>
      <c r="D25" s="10">
        <v>46064.0</v>
      </c>
      <c r="E25" s="11" t="s">
        <v>35</v>
      </c>
      <c r="F25" s="3"/>
      <c r="G25" s="11"/>
      <c r="H25" s="13">
        <v>0.0</v>
      </c>
      <c r="I25" s="13">
        <v>0.0</v>
      </c>
      <c r="J25" s="11" t="s">
        <v>36</v>
      </c>
      <c r="K25" s="11" t="s">
        <v>35</v>
      </c>
      <c r="L25" s="3"/>
      <c r="M25" s="11"/>
      <c r="N25" s="13">
        <v>0.0</v>
      </c>
      <c r="O25" s="13">
        <v>0.0</v>
      </c>
      <c r="P25" s="11" t="s">
        <v>36</v>
      </c>
      <c r="Q25" s="11" t="s">
        <v>35</v>
      </c>
      <c r="R25" s="3"/>
      <c r="S25" s="3"/>
      <c r="T25" s="3"/>
      <c r="U25" s="3"/>
      <c r="V25" s="3"/>
      <c r="W25" s="3"/>
      <c r="X25" s="3"/>
      <c r="Y25" s="3"/>
      <c r="Z25" s="3"/>
    </row>
    <row r="26">
      <c r="A26" s="30" t="s">
        <v>43</v>
      </c>
      <c r="B26" s="7">
        <v>110.0</v>
      </c>
      <c r="C26" s="7">
        <v>1.8</v>
      </c>
      <c r="D26" s="10">
        <v>46066.0</v>
      </c>
      <c r="E26" s="11" t="s">
        <v>35</v>
      </c>
      <c r="F26" s="3"/>
      <c r="G26" s="11"/>
      <c r="H26" s="13">
        <v>0.0</v>
      </c>
      <c r="I26" s="13">
        <v>0.0</v>
      </c>
      <c r="J26" s="11" t="s">
        <v>36</v>
      </c>
      <c r="K26" s="11" t="s">
        <v>35</v>
      </c>
      <c r="L26" s="3"/>
      <c r="M26" s="11"/>
      <c r="N26" s="13">
        <v>0.0</v>
      </c>
      <c r="O26" s="13">
        <v>0.0</v>
      </c>
      <c r="P26" s="11" t="s">
        <v>36</v>
      </c>
      <c r="Q26" s="11" t="s">
        <v>35</v>
      </c>
      <c r="R26" s="3"/>
      <c r="S26" s="3"/>
      <c r="T26" s="3"/>
      <c r="U26" s="3"/>
      <c r="V26" s="3"/>
      <c r="W26" s="3"/>
      <c r="X26" s="3"/>
      <c r="Y26" s="3"/>
      <c r="Z26" s="3"/>
    </row>
    <row r="27">
      <c r="A27" s="30" t="s">
        <v>39</v>
      </c>
      <c r="B27" s="7">
        <v>250.0</v>
      </c>
      <c r="C27" s="7">
        <v>4.1</v>
      </c>
      <c r="D27" s="10">
        <v>46066.0</v>
      </c>
      <c r="E27" s="11" t="s">
        <v>35</v>
      </c>
      <c r="F27" s="3"/>
      <c r="G27" s="11"/>
      <c r="H27" s="11"/>
      <c r="I27" s="11"/>
      <c r="J27" s="11"/>
      <c r="K27" s="11"/>
      <c r="L27" s="3"/>
      <c r="M27" s="11"/>
      <c r="N27" s="11"/>
      <c r="O27" s="11"/>
      <c r="P27" s="11"/>
      <c r="Q27" s="11"/>
      <c r="R27" s="3"/>
      <c r="S27" s="3"/>
      <c r="T27" s="3"/>
      <c r="U27" s="3"/>
      <c r="V27" s="3"/>
      <c r="W27" s="3"/>
      <c r="X27" s="3"/>
      <c r="Y27" s="3"/>
      <c r="Z27" s="3"/>
    </row>
    <row r="28">
      <c r="A28" s="30" t="s">
        <v>50</v>
      </c>
      <c r="B28" s="7">
        <v>830.83</v>
      </c>
      <c r="C28" s="7">
        <v>16.52</v>
      </c>
      <c r="D28" s="10">
        <v>46067.0</v>
      </c>
      <c r="E28" s="11" t="s">
        <v>35</v>
      </c>
      <c r="F28" s="3"/>
      <c r="G28" s="23" t="s">
        <v>21</v>
      </c>
      <c r="H28" s="24">
        <f t="shared" ref="H28:I28" si="2">SUM(H14:H26)</f>
        <v>0</v>
      </c>
      <c r="I28" s="24">
        <f t="shared" si="2"/>
        <v>0</v>
      </c>
      <c r="J28" s="11"/>
      <c r="K28" s="11"/>
      <c r="L28" s="3"/>
      <c r="M28" s="23" t="s">
        <v>21</v>
      </c>
      <c r="N28" s="24">
        <f t="shared" ref="N28:O28" si="3">SUM(N14:N26)</f>
        <v>3935.95</v>
      </c>
      <c r="O28" s="24">
        <f t="shared" si="3"/>
        <v>64.04</v>
      </c>
      <c r="P28" s="11"/>
      <c r="Q28" s="11"/>
      <c r="R28" s="3"/>
      <c r="S28" s="3"/>
      <c r="T28" s="3"/>
      <c r="U28" s="3"/>
      <c r="V28" s="3"/>
      <c r="W28" s="3"/>
      <c r="X28" s="3"/>
      <c r="Y28" s="3"/>
      <c r="Z28" s="3"/>
    </row>
    <row r="29">
      <c r="A29" s="31" t="s">
        <v>51</v>
      </c>
      <c r="B29" s="7">
        <v>264.0</v>
      </c>
      <c r="C29" s="7">
        <v>2.95</v>
      </c>
      <c r="D29" s="10">
        <v>46067.0</v>
      </c>
      <c r="E29" s="11" t="s">
        <v>35</v>
      </c>
      <c r="F29" s="3"/>
      <c r="G29" s="11"/>
      <c r="H29" s="11"/>
      <c r="I29" s="11"/>
      <c r="J29" s="11"/>
      <c r="K29" s="11"/>
      <c r="L29" s="3"/>
      <c r="M29" s="11"/>
      <c r="N29" s="11"/>
      <c r="O29" s="11"/>
      <c r="P29" s="11"/>
      <c r="Q29" s="11"/>
      <c r="R29" s="3"/>
      <c r="S29" s="3"/>
      <c r="T29" s="3"/>
      <c r="U29" s="3"/>
      <c r="V29" s="3"/>
      <c r="W29" s="3"/>
      <c r="X29" s="3"/>
      <c r="Y29" s="3"/>
      <c r="Z29" s="3"/>
    </row>
    <row r="30">
      <c r="A30" s="30" t="s">
        <v>52</v>
      </c>
      <c r="B30" s="7">
        <v>254.62</v>
      </c>
      <c r="C30" s="7">
        <v>4.49</v>
      </c>
      <c r="D30" s="10">
        <v>46037.0</v>
      </c>
      <c r="E30" s="11" t="s">
        <v>35</v>
      </c>
      <c r="F30" s="3"/>
      <c r="G30" s="6" t="s">
        <v>53</v>
      </c>
      <c r="H30" s="13">
        <f>SUM(B6-H28)</f>
        <v>0.18</v>
      </c>
      <c r="I30" s="11"/>
      <c r="J30" s="11"/>
      <c r="K30" s="11"/>
      <c r="L30" s="3"/>
      <c r="M30" s="8" t="s">
        <v>54</v>
      </c>
      <c r="N30" s="13">
        <f>SUM(B7-N28+O28+B10)</f>
        <v>165.81</v>
      </c>
      <c r="O30" s="11"/>
      <c r="P30" s="11"/>
      <c r="Q30" s="11"/>
      <c r="R30" s="3"/>
      <c r="S30" s="3"/>
      <c r="T30" s="3"/>
      <c r="U30" s="3"/>
      <c r="V30" s="3"/>
      <c r="W30" s="3"/>
      <c r="X30" s="3"/>
      <c r="Y30" s="3"/>
      <c r="Z30" s="3"/>
    </row>
    <row r="31">
      <c r="A31" s="30" t="s">
        <v>44</v>
      </c>
      <c r="B31" s="7">
        <v>105.0</v>
      </c>
      <c r="C31" s="13">
        <v>0.0</v>
      </c>
      <c r="D31" s="10">
        <v>46069.0</v>
      </c>
      <c r="E31" s="11" t="s">
        <v>35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0" t="s">
        <v>55</v>
      </c>
      <c r="B32" s="7">
        <v>319.0</v>
      </c>
      <c r="C32" s="7">
        <v>25.83</v>
      </c>
      <c r="D32" s="10">
        <v>46070.0</v>
      </c>
      <c r="E32" s="11" t="s">
        <v>35</v>
      </c>
      <c r="F32" s="3"/>
      <c r="G32" s="3"/>
      <c r="H32" s="3"/>
      <c r="M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0" t="s">
        <v>56</v>
      </c>
      <c r="B33" s="7">
        <v>57.0</v>
      </c>
      <c r="C33" s="7">
        <v>0.93</v>
      </c>
      <c r="D33" s="10">
        <v>46070.0</v>
      </c>
      <c r="E33" s="11" t="s">
        <v>35</v>
      </c>
      <c r="F33" s="3"/>
      <c r="G33" s="3"/>
      <c r="H33" s="32" t="s">
        <v>57</v>
      </c>
      <c r="I33" s="5"/>
      <c r="J33" s="5"/>
      <c r="K33" s="5"/>
      <c r="L33" s="2"/>
      <c r="N33" s="1" t="s">
        <v>58</v>
      </c>
      <c r="O33" s="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0" t="s">
        <v>59</v>
      </c>
      <c r="B34" s="7">
        <v>318.13</v>
      </c>
      <c r="C34" s="13">
        <v>0.0</v>
      </c>
      <c r="D34" s="10">
        <v>46071.0</v>
      </c>
      <c r="E34" s="11" t="s">
        <v>35</v>
      </c>
      <c r="F34" s="3"/>
      <c r="G34" s="3"/>
      <c r="H34" s="29" t="s">
        <v>60</v>
      </c>
      <c r="I34" s="29" t="s">
        <v>6</v>
      </c>
      <c r="J34" s="29" t="s">
        <v>61</v>
      </c>
      <c r="K34" s="29" t="s">
        <v>62</v>
      </c>
      <c r="L34" s="29" t="s">
        <v>33</v>
      </c>
      <c r="N34" s="6" t="s">
        <v>63</v>
      </c>
      <c r="O34" s="13">
        <f>SUM(E9+B50+H28+N28)</f>
        <v>26366.7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0" t="s">
        <v>64</v>
      </c>
      <c r="B35" s="7">
        <v>150.0</v>
      </c>
      <c r="C35" s="7">
        <v>2.46</v>
      </c>
      <c r="D35" s="10">
        <v>46072.0</v>
      </c>
      <c r="E35" s="11" t="s">
        <v>35</v>
      </c>
      <c r="F35" s="3"/>
      <c r="G35" s="3"/>
      <c r="H35" s="33"/>
      <c r="I35" s="34">
        <v>0.0</v>
      </c>
      <c r="J35" s="35"/>
      <c r="K35" s="33" t="s">
        <v>36</v>
      </c>
      <c r="L35" s="30" t="s">
        <v>65</v>
      </c>
      <c r="N35" s="6" t="s">
        <v>66</v>
      </c>
      <c r="O35" s="13">
        <f>J6</f>
        <v>10000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0" t="s">
        <v>67</v>
      </c>
      <c r="B36" s="7">
        <v>782.04</v>
      </c>
      <c r="C36" s="7">
        <v>5.89</v>
      </c>
      <c r="D36" s="10">
        <v>46072.0</v>
      </c>
      <c r="E36" s="11" t="s">
        <v>35</v>
      </c>
      <c r="F36" s="3"/>
      <c r="G36" s="3"/>
      <c r="H36" s="33"/>
      <c r="I36" s="34">
        <v>0.0</v>
      </c>
      <c r="J36" s="35"/>
      <c r="K36" s="33" t="s">
        <v>36</v>
      </c>
      <c r="L36" s="30" t="s">
        <v>65</v>
      </c>
      <c r="N36" s="8" t="s">
        <v>68</v>
      </c>
      <c r="O36" s="13">
        <f>N30+H30+B52</f>
        <v>578.83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0" t="s">
        <v>69</v>
      </c>
      <c r="B37" s="7">
        <v>135.0</v>
      </c>
      <c r="C37" s="13">
        <v>0.0</v>
      </c>
      <c r="D37" s="10">
        <v>46072.0</v>
      </c>
      <c r="E37" s="11" t="s">
        <v>35</v>
      </c>
      <c r="F37" s="3"/>
      <c r="G37" s="3"/>
      <c r="H37" s="33"/>
      <c r="I37" s="34">
        <v>0.0</v>
      </c>
      <c r="J37" s="35"/>
      <c r="K37" s="33" t="s">
        <v>36</v>
      </c>
      <c r="L37" s="30" t="s">
        <v>65</v>
      </c>
      <c r="N37" s="36" t="s">
        <v>70</v>
      </c>
      <c r="O37" s="37">
        <f>B60</f>
        <v>1700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0" t="s">
        <v>71</v>
      </c>
      <c r="B38" s="7">
        <v>1721.0</v>
      </c>
      <c r="C38" s="7">
        <v>28.21</v>
      </c>
      <c r="D38" s="10">
        <v>46073.0</v>
      </c>
      <c r="E38" s="11" t="s">
        <v>35</v>
      </c>
      <c r="F38" s="3"/>
      <c r="G38" s="3"/>
      <c r="H38" s="33"/>
      <c r="I38" s="34">
        <v>0.0</v>
      </c>
      <c r="J38" s="35"/>
      <c r="K38" s="33" t="s">
        <v>36</v>
      </c>
      <c r="L38" s="30" t="s">
        <v>65</v>
      </c>
      <c r="M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0" t="s">
        <v>72</v>
      </c>
      <c r="B39" s="7">
        <v>299.0</v>
      </c>
      <c r="C39" s="7">
        <v>22.06</v>
      </c>
      <c r="D39" s="10">
        <v>46073.0</v>
      </c>
      <c r="E39" s="11" t="s">
        <v>35</v>
      </c>
      <c r="F39" s="3"/>
      <c r="G39" s="3"/>
      <c r="H39" s="33"/>
      <c r="I39" s="34">
        <v>0.0</v>
      </c>
      <c r="J39" s="33"/>
      <c r="K39" s="33" t="s">
        <v>36</v>
      </c>
      <c r="L39" s="30" t="s">
        <v>65</v>
      </c>
      <c r="M39" s="3"/>
      <c r="N39" s="6" t="s">
        <v>73</v>
      </c>
      <c r="O39" s="13">
        <f>(O36-N28-H28-B50+O35+O37)</f>
        <v>-2128.51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0" t="s">
        <v>74</v>
      </c>
      <c r="B40" s="7">
        <v>75.0</v>
      </c>
      <c r="C40" s="7">
        <v>1.23</v>
      </c>
      <c r="D40" s="10">
        <v>46075.0</v>
      </c>
      <c r="E40" s="11" t="s">
        <v>35</v>
      </c>
      <c r="F40" s="3"/>
      <c r="G40" s="3"/>
      <c r="H40" s="33"/>
      <c r="I40" s="34">
        <v>0.0</v>
      </c>
      <c r="J40" s="33"/>
      <c r="K40" s="33" t="s">
        <v>36</v>
      </c>
      <c r="L40" s="30" t="s">
        <v>65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0" t="s">
        <v>75</v>
      </c>
      <c r="B41" s="13">
        <v>0.0</v>
      </c>
      <c r="C41" s="13">
        <v>0.0</v>
      </c>
      <c r="D41" s="10">
        <v>46075.0</v>
      </c>
      <c r="E41" s="11" t="s">
        <v>35</v>
      </c>
      <c r="F41" s="3"/>
      <c r="G41" s="3"/>
      <c r="H41" s="33"/>
      <c r="I41" s="34">
        <v>0.0</v>
      </c>
      <c r="J41" s="33"/>
      <c r="K41" s="33" t="s">
        <v>36</v>
      </c>
      <c r="L41" s="30" t="s">
        <v>65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0" t="s">
        <v>76</v>
      </c>
      <c r="B42" s="7">
        <v>210.0</v>
      </c>
      <c r="C42" s="7">
        <v>3.44</v>
      </c>
      <c r="D42" s="10">
        <v>46076.0</v>
      </c>
      <c r="E42" s="11" t="s">
        <v>35</v>
      </c>
      <c r="F42" s="3"/>
      <c r="G42" s="3"/>
      <c r="H42" s="33"/>
      <c r="I42" s="34">
        <v>0.0</v>
      </c>
      <c r="J42" s="33"/>
      <c r="K42" s="33" t="s">
        <v>36</v>
      </c>
      <c r="L42" s="30" t="s">
        <v>65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0" t="s">
        <v>77</v>
      </c>
      <c r="B43" s="7">
        <v>150.0</v>
      </c>
      <c r="C43" s="7">
        <v>2.46</v>
      </c>
      <c r="D43" s="10">
        <v>46077.0</v>
      </c>
      <c r="E43" s="11" t="s">
        <v>35</v>
      </c>
      <c r="F43" s="3"/>
      <c r="G43" s="3"/>
      <c r="H43" s="11"/>
      <c r="I43" s="38"/>
      <c r="J43" s="11"/>
      <c r="K43" s="33"/>
      <c r="L43" s="3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0" t="s">
        <v>78</v>
      </c>
      <c r="B44" s="7">
        <v>300.0</v>
      </c>
      <c r="C44" s="13">
        <v>0.0</v>
      </c>
      <c r="D44" s="10">
        <v>46077.0</v>
      </c>
      <c r="E44" s="11" t="s">
        <v>35</v>
      </c>
      <c r="F44" s="3"/>
      <c r="G44" s="3"/>
      <c r="H44" s="39" t="s">
        <v>21</v>
      </c>
      <c r="I44" s="18">
        <f>SUM(I35:I42)</f>
        <v>0</v>
      </c>
      <c r="J44" s="11"/>
      <c r="K44" s="33"/>
      <c r="L44" s="3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0" t="s">
        <v>79</v>
      </c>
      <c r="B45" s="7">
        <v>518.0</v>
      </c>
      <c r="C45" s="7">
        <v>8.49</v>
      </c>
      <c r="D45" s="10">
        <v>46080.0</v>
      </c>
      <c r="E45" s="11" t="s">
        <v>35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0" t="s">
        <v>80</v>
      </c>
      <c r="B46" s="7">
        <v>18.0</v>
      </c>
      <c r="C46" s="13">
        <v>0.0</v>
      </c>
      <c r="D46" s="11" t="s">
        <v>36</v>
      </c>
      <c r="E46" s="11" t="s">
        <v>35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0" t="s">
        <v>81</v>
      </c>
      <c r="B47" s="7">
        <v>349.0</v>
      </c>
      <c r="C47" s="13">
        <v>0.0</v>
      </c>
      <c r="D47" s="11" t="s">
        <v>36</v>
      </c>
      <c r="E47" s="11" t="s">
        <v>35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"/>
      <c r="B48" s="13">
        <v>0.0</v>
      </c>
      <c r="C48" s="13">
        <v>0.0</v>
      </c>
      <c r="D48" s="11" t="s">
        <v>36</v>
      </c>
      <c r="E48" s="11" t="s">
        <v>35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3" t="s">
        <v>21</v>
      </c>
      <c r="B50" s="24">
        <f t="shared" ref="B50:C50" si="4">SUM(B14:B48)</f>
        <v>10471.39</v>
      </c>
      <c r="C50" s="24">
        <f t="shared" si="4"/>
        <v>191.84</v>
      </c>
      <c r="D50" s="11"/>
      <c r="E50" s="11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"/>
      <c r="B51" s="11"/>
      <c r="C51" s="11"/>
      <c r="D51" s="11"/>
      <c r="E51" s="11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8" t="s">
        <v>17</v>
      </c>
      <c r="B52" s="13">
        <f>SUM(B2+B5+F9-B50-J4+C50+B4+1100-270-E9+B73+B9)</f>
        <v>412.84</v>
      </c>
      <c r="C52" s="11"/>
      <c r="D52" s="11"/>
      <c r="E52" s="11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0" t="s">
        <v>82</v>
      </c>
      <c r="B54" s="41"/>
      <c r="C54" s="4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3" t="s">
        <v>83</v>
      </c>
      <c r="B55" s="43" t="s">
        <v>6</v>
      </c>
      <c r="C55" s="43" t="s">
        <v>84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4" t="s">
        <v>85</v>
      </c>
      <c r="B56" s="45">
        <v>1000.0</v>
      </c>
      <c r="C56" s="45">
        <v>100.0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4" t="s">
        <v>86</v>
      </c>
      <c r="B57" s="45">
        <v>600.0</v>
      </c>
      <c r="C57" s="46">
        <v>0.0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3" t="s">
        <v>87</v>
      </c>
      <c r="B59" s="46">
        <f t="shared" ref="B59:C59" si="5">SUM(B56:B57)</f>
        <v>1600</v>
      </c>
      <c r="C59" s="46">
        <f t="shared" si="5"/>
        <v>100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3" t="s">
        <v>70</v>
      </c>
      <c r="B60" s="47">
        <f>SUM(B59+C59)</f>
        <v>1700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2" t="s">
        <v>88</v>
      </c>
      <c r="B62" s="5"/>
      <c r="C62" s="5"/>
      <c r="D62" s="5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9" t="s">
        <v>60</v>
      </c>
      <c r="B63" s="29" t="s">
        <v>6</v>
      </c>
      <c r="C63" s="29" t="s">
        <v>61</v>
      </c>
      <c r="D63" s="29" t="s">
        <v>62</v>
      </c>
      <c r="E63" s="29" t="s">
        <v>33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8" t="s">
        <v>89</v>
      </c>
      <c r="B64" s="49">
        <v>388.0</v>
      </c>
      <c r="C64" s="50" t="s">
        <v>90</v>
      </c>
      <c r="D64" s="51">
        <v>46040.0</v>
      </c>
      <c r="E64" s="48" t="s">
        <v>65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2"/>
      <c r="B65" s="53">
        <v>0.0</v>
      </c>
      <c r="C65" s="54"/>
      <c r="D65" s="52" t="s">
        <v>36</v>
      </c>
      <c r="E65" s="48" t="s">
        <v>65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2"/>
      <c r="B66" s="53">
        <v>0.0</v>
      </c>
      <c r="C66" s="54"/>
      <c r="D66" s="52" t="s">
        <v>36</v>
      </c>
      <c r="E66" s="48" t="s">
        <v>65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2"/>
      <c r="B67" s="53">
        <v>0.0</v>
      </c>
      <c r="C67" s="54"/>
      <c r="D67" s="52" t="s">
        <v>36</v>
      </c>
      <c r="E67" s="48" t="s">
        <v>65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2"/>
      <c r="B68" s="53">
        <v>0.0</v>
      </c>
      <c r="C68" s="52"/>
      <c r="D68" s="52" t="s">
        <v>36</v>
      </c>
      <c r="E68" s="48" t="s">
        <v>65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2"/>
      <c r="B69" s="53">
        <v>0.0</v>
      </c>
      <c r="C69" s="52"/>
      <c r="D69" s="52" t="s">
        <v>36</v>
      </c>
      <c r="E69" s="48" t="s">
        <v>65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2"/>
      <c r="B70" s="53">
        <v>0.0</v>
      </c>
      <c r="C70" s="52"/>
      <c r="D70" s="52" t="s">
        <v>36</v>
      </c>
      <c r="E70" s="48" t="s">
        <v>65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2"/>
      <c r="B71" s="53">
        <v>0.0</v>
      </c>
      <c r="C71" s="52"/>
      <c r="D71" s="52" t="s">
        <v>36</v>
      </c>
      <c r="E71" s="48" t="s">
        <v>65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2"/>
      <c r="B72" s="52"/>
      <c r="C72" s="52"/>
      <c r="D72" s="52"/>
      <c r="E72" s="5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9" t="s">
        <v>21</v>
      </c>
      <c r="B73" s="18">
        <f>SUM(B64:B71)</f>
        <v>388</v>
      </c>
      <c r="C73" s="11"/>
      <c r="D73" s="11"/>
      <c r="E73" s="11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9">
    <mergeCell ref="A1:B1"/>
    <mergeCell ref="D1:G1"/>
    <mergeCell ref="I1:K1"/>
    <mergeCell ref="M1:O1"/>
    <mergeCell ref="M2:O2"/>
    <mergeCell ref="M3:O3"/>
    <mergeCell ref="M4:O4"/>
    <mergeCell ref="G12:K12"/>
    <mergeCell ref="H33:L33"/>
    <mergeCell ref="N33:O33"/>
    <mergeCell ref="A54:C54"/>
    <mergeCell ref="A62:E62"/>
    <mergeCell ref="M5:O5"/>
    <mergeCell ref="M6:O6"/>
    <mergeCell ref="M7:O7"/>
    <mergeCell ref="M8:O8"/>
    <mergeCell ref="M9:O9"/>
    <mergeCell ref="A12:E12"/>
    <mergeCell ref="M12:Q12"/>
  </mergeCells>
  <dataValidations>
    <dataValidation type="list" allowBlank="1" showErrorMessage="1" sqref="K14:K26 Q14:Q26 L35:L42 E14:E48 E64:E71">
      <formula1>"Pendiente,Pagado"</formula1>
    </dataValidation>
  </dataValidations>
  <drawing r:id="rId1"/>
</worksheet>
</file>