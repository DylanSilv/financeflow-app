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<sst xmlns="http://schemas.openxmlformats.org/spreadsheetml/2006/main" count="110" uniqueCount="67">
  <si>
    <t xml:space="preserve">Datos Generales </t>
  </si>
  <si>
    <t xml:space="preserve">Gastos Fijos </t>
  </si>
  <si>
    <t>Ahorro</t>
  </si>
  <si>
    <t>Cobro</t>
  </si>
  <si>
    <t>Categorias</t>
  </si>
  <si>
    <t>Monto</t>
  </si>
  <si>
    <t>Fecha de pago</t>
  </si>
  <si>
    <t>Objetivo</t>
  </si>
  <si>
    <t>Fecha de ingreso</t>
  </si>
  <si>
    <t>Celular</t>
  </si>
  <si>
    <t>DD/MM/AAAA</t>
  </si>
  <si>
    <t>Guardado</t>
  </si>
  <si>
    <t xml:space="preserve">Mes pasado </t>
  </si>
  <si>
    <t>Total</t>
  </si>
  <si>
    <t>Beneficio Antel</t>
  </si>
  <si>
    <t>total</t>
  </si>
  <si>
    <t>Compras con Itau</t>
  </si>
  <si>
    <t>Compras con Santander</t>
  </si>
  <si>
    <t>Cosas</t>
  </si>
  <si>
    <t>Costo</t>
  </si>
  <si>
    <t xml:space="preserve">Fecha de pago </t>
  </si>
  <si>
    <t>Estado</t>
  </si>
  <si>
    <t>NOTAS</t>
  </si>
  <si>
    <t>colet</t>
  </si>
  <si>
    <t>Pagado</t>
  </si>
  <si>
    <t>cigarros</t>
  </si>
  <si>
    <t>Este mes compre los puma 0/2</t>
  </si>
  <si>
    <t xml:space="preserve">galletita </t>
  </si>
  <si>
    <t xml:space="preserve">juego del axel </t>
  </si>
  <si>
    <t>coca</t>
  </si>
  <si>
    <t>claro</t>
  </si>
  <si>
    <t xml:space="preserve">Este mes compre ropa </t>
  </si>
  <si>
    <t>ropa</t>
  </si>
  <si>
    <t>alfajores y yogurt</t>
  </si>
  <si>
    <t>desodorante pie</t>
  </si>
  <si>
    <t>devolución de ropa $1867,45</t>
  </si>
  <si>
    <t>galletitas</t>
  </si>
  <si>
    <t>grapa y bolsas</t>
  </si>
  <si>
    <t>transferencia barre</t>
  </si>
  <si>
    <t>muzza</t>
  </si>
  <si>
    <t>Vanish</t>
  </si>
  <si>
    <t>Carne picada</t>
  </si>
  <si>
    <t>leche</t>
  </si>
  <si>
    <t>alfajores</t>
  </si>
  <si>
    <t>atun</t>
  </si>
  <si>
    <t>Colet</t>
  </si>
  <si>
    <t xml:space="preserve">pago de tarjeta </t>
  </si>
  <si>
    <t>chocolatada</t>
  </si>
  <si>
    <t>Compra de ropa</t>
  </si>
  <si>
    <t>transferencia itau</t>
  </si>
  <si>
    <t>Campera negra</t>
  </si>
  <si>
    <t>Buzo verde</t>
  </si>
  <si>
    <t>Para guardar (Itau)</t>
  </si>
  <si>
    <t>Buzo Veige</t>
  </si>
  <si>
    <t>Para guardar (Santander)</t>
  </si>
  <si>
    <t>Remera muscle</t>
  </si>
  <si>
    <t>Remera Veige</t>
  </si>
  <si>
    <t>Resumen</t>
  </si>
  <si>
    <t>Itau</t>
  </si>
  <si>
    <t xml:space="preserve">Total </t>
  </si>
  <si>
    <t xml:space="preserve">Total gastos </t>
  </si>
  <si>
    <t xml:space="preserve">Santander </t>
  </si>
  <si>
    <t>Total ahorros</t>
  </si>
  <si>
    <t>Cuento con:</t>
  </si>
  <si>
    <t xml:space="preserve">Disponible </t>
  </si>
  <si>
    <t>Despues de la compra:</t>
  </si>
  <si>
    <t>Despues del ahorro: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</si>
</sst>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d/m/yyyy"/>
    <numFmt numFmtId="166" formatCode="dd/mm/yyyy"/>
  </numFmts>
  <fonts count="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/>
    <font>
      <color rgb="FFFFCFC9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166" xfId="0" applyAlignment="1" applyFont="1" applyNumberFormat="1">
      <alignment readingOrder="0" vertical="bottom"/>
    </xf>
    <xf borderId="0" fillId="4" fontId="3" numFmtId="0" xfId="0" applyAlignment="1" applyFill="1" applyFont="1">
      <alignment readingOrder="0" vertical="bottom"/>
    </xf>
    <xf borderId="0" fillId="5" fontId="3" numFmtId="0" xfId="0" applyAlignment="1" applyFill="1" applyFont="1">
      <alignment readingOrder="0" vertical="bottom"/>
    </xf>
    <xf borderId="0" fillId="0" fontId="2" numFmtId="164" xfId="0" applyAlignment="1" applyFont="1" applyNumberFormat="1">
      <alignment readingOrder="0" vertical="bottom"/>
    </xf>
    <xf borderId="0" fillId="6" fontId="2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3" fontId="2" numFmtId="164" xfId="0" applyAlignment="1" applyFont="1" applyNumberFormat="1">
      <alignment horizontal="right" vertical="bottom"/>
    </xf>
    <xf borderId="0" fillId="3" fontId="2" numFmtId="0" xfId="0" applyAlignment="1" applyFont="1">
      <alignment vertical="bottom"/>
    </xf>
    <xf borderId="0" fillId="6" fontId="2" numFmtId="0" xfId="0" applyAlignment="1" applyFont="1">
      <alignment readingOrder="0" vertical="bottom"/>
    </xf>
    <xf borderId="0" fillId="6" fontId="2" numFmtId="164" xfId="0" applyAlignment="1" applyFont="1" applyNumberFormat="1">
      <alignment vertical="bottom"/>
    </xf>
    <xf borderId="0" fillId="3" fontId="1" numFmtId="0" xfId="0" applyAlignment="1" applyFont="1">
      <alignment horizontal="center" readingOrder="0" vertical="bottom"/>
    </xf>
    <xf borderId="1" fillId="3" fontId="1" numFmtId="0" xfId="0" applyAlignment="1" applyBorder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4" fillId="0" fontId="2" numFmtId="0" xfId="0" applyAlignment="1" applyBorder="1" applyFont="1">
      <alignment readingOrder="0" vertical="bottom"/>
    </xf>
    <xf borderId="5" fillId="0" fontId="4" numFmtId="0" xfId="0" applyBorder="1" applyFont="1"/>
    <xf borderId="4" fillId="0" fontId="2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6" fillId="0" fontId="2" numFmtId="0" xfId="0" applyAlignment="1" applyBorder="1" applyFont="1">
      <alignment vertical="bottom"/>
    </xf>
    <xf borderId="7" fillId="0" fontId="4" numFmtId="0" xfId="0" applyBorder="1" applyFont="1"/>
    <xf borderId="8" fillId="0" fontId="4" numFmtId="0" xfId="0" applyBorder="1" applyFont="1"/>
    <xf borderId="0" fillId="7" fontId="3" numFmtId="0" xfId="0" applyAlignment="1" applyFill="1" applyFont="1">
      <alignment readingOrder="0" vertical="bottom"/>
    </xf>
    <xf borderId="0" fillId="7" fontId="6" numFmtId="0" xfId="0" applyFont="1"/>
    <xf borderId="0" fillId="0" fontId="6" numFmtId="9" xfId="0" applyAlignment="1" applyFont="1" applyNumberFormat="1">
      <alignment readingOrder="0"/>
    </xf>
    <xf borderId="0" fillId="8" fontId="3" numFmtId="0" xfId="0" applyAlignment="1" applyFill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6" numFmtId="164" xfId="0" applyFont="1" applyNumberForma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6" max="6" width="14.0"/>
    <col customWidth="1" min="10" max="10" width="14.38"/>
  </cols>
  <sheetData>
    <row r="1">
      <c r="A1" s="1" t="s">
        <v>0</v>
      </c>
      <c r="C1" s="2"/>
      <c r="D1" s="3" t="s">
        <v>1</v>
      </c>
      <c r="G1" s="2"/>
      <c r="H1" s="1" t="s">
        <v>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3</v>
      </c>
      <c r="B2" s="5">
        <v>7744.0</v>
      </c>
      <c r="C2" s="2"/>
      <c r="D2" s="4" t="s">
        <v>4</v>
      </c>
      <c r="E2" s="4" t="s">
        <v>5</v>
      </c>
      <c r="F2" s="4" t="s">
        <v>6</v>
      </c>
      <c r="G2" s="2"/>
      <c r="H2" s="4" t="s">
        <v>7</v>
      </c>
      <c r="I2" s="4" t="s">
        <v>5</v>
      </c>
      <c r="J2" s="4" t="s">
        <v>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8</v>
      </c>
      <c r="B3" s="6">
        <v>45870.0</v>
      </c>
      <c r="C3" s="2"/>
      <c r="D3" s="4" t="s">
        <v>9</v>
      </c>
      <c r="E3" s="7">
        <v>0.0</v>
      </c>
      <c r="F3" s="2" t="s">
        <v>10</v>
      </c>
      <c r="G3" s="2"/>
      <c r="H3" s="4" t="s">
        <v>11</v>
      </c>
      <c r="I3" s="5">
        <v>3000.0</v>
      </c>
      <c r="J3" s="8">
        <v>45875.0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 t="s">
        <v>12</v>
      </c>
      <c r="B4" s="5">
        <v>459.73</v>
      </c>
      <c r="C4" s="2"/>
      <c r="D4" s="4"/>
      <c r="E4" s="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 t="s">
        <v>12</v>
      </c>
      <c r="B5" s="11">
        <v>371.76</v>
      </c>
      <c r="C5" s="12"/>
      <c r="D5" s="13" t="s">
        <v>13</v>
      </c>
      <c r="E5" s="14">
        <f>SUM(E3)</f>
        <v>0</v>
      </c>
      <c r="F5" s="1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6" t="s">
        <v>14</v>
      </c>
      <c r="B6" s="11">
        <v>1300.0</v>
      </c>
      <c r="C6" s="12"/>
      <c r="D6" s="4"/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6" t="s">
        <v>15</v>
      </c>
      <c r="B7" s="17">
        <f>SUM(B2+B5)</f>
        <v>8115.76</v>
      </c>
      <c r="C7" s="1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/>
      <c r="B8" s="12"/>
      <c r="C8" s="1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/>
      <c r="B9" s="12"/>
      <c r="C9" s="1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8" t="s">
        <v>16</v>
      </c>
      <c r="E12" s="2"/>
      <c r="F12" s="18" t="s">
        <v>17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18</v>
      </c>
      <c r="B13" s="4" t="s">
        <v>19</v>
      </c>
      <c r="C13" s="4" t="s">
        <v>20</v>
      </c>
      <c r="D13" s="4" t="s">
        <v>21</v>
      </c>
      <c r="E13" s="2"/>
      <c r="F13" s="4" t="s">
        <v>18</v>
      </c>
      <c r="G13" s="4" t="s">
        <v>19</v>
      </c>
      <c r="H13" s="4" t="s">
        <v>20</v>
      </c>
      <c r="I13" s="4" t="s">
        <v>21</v>
      </c>
      <c r="K13" s="2"/>
      <c r="L13" s="19" t="s">
        <v>22</v>
      </c>
      <c r="M13" s="20"/>
      <c r="N13" s="2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2" t="s">
        <v>23</v>
      </c>
      <c r="B14" s="5">
        <v>88.52</v>
      </c>
      <c r="C14" s="8">
        <v>45873.0</v>
      </c>
      <c r="D14" s="23" t="s">
        <v>24</v>
      </c>
      <c r="E14" s="2"/>
      <c r="F14" s="22" t="s">
        <v>25</v>
      </c>
      <c r="G14" s="5">
        <v>226.23</v>
      </c>
      <c r="H14" s="8">
        <v>45872.0</v>
      </c>
      <c r="I14" s="23" t="s">
        <v>24</v>
      </c>
      <c r="L14" s="24" t="s">
        <v>26</v>
      </c>
      <c r="N14" s="25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2" t="s">
        <v>27</v>
      </c>
      <c r="B15" s="5">
        <v>24.59</v>
      </c>
      <c r="C15" s="8">
        <v>45874.0</v>
      </c>
      <c r="D15" s="23" t="s">
        <v>24</v>
      </c>
      <c r="E15" s="2"/>
      <c r="F15" s="22" t="s">
        <v>28</v>
      </c>
      <c r="G15" s="5">
        <v>1052.6</v>
      </c>
      <c r="H15" s="8">
        <v>45871.0</v>
      </c>
      <c r="I15" s="23" t="s">
        <v>24</v>
      </c>
      <c r="L15" s="26"/>
      <c r="N15" s="25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2" t="s">
        <v>29</v>
      </c>
      <c r="B16" s="5">
        <v>118.03</v>
      </c>
      <c r="C16" s="8">
        <v>45874.0</v>
      </c>
      <c r="D16" s="23" t="s">
        <v>24</v>
      </c>
      <c r="E16" s="2"/>
      <c r="F16" s="22" t="s">
        <v>30</v>
      </c>
      <c r="G16" s="5">
        <v>1665.81</v>
      </c>
      <c r="H16" s="8">
        <v>45873.0</v>
      </c>
      <c r="I16" s="23" t="s">
        <v>24</v>
      </c>
      <c r="L16" s="24" t="s">
        <v>31</v>
      </c>
      <c r="N16" s="25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2" t="s">
        <v>32</v>
      </c>
      <c r="B17" s="5">
        <v>2545.75</v>
      </c>
      <c r="C17" s="8">
        <v>45880.0</v>
      </c>
      <c r="D17" s="23" t="s">
        <v>24</v>
      </c>
      <c r="E17" s="2"/>
      <c r="F17" s="22" t="s">
        <v>33</v>
      </c>
      <c r="G17" s="5">
        <v>147.54</v>
      </c>
      <c r="H17" s="8">
        <v>45874.0</v>
      </c>
      <c r="I17" s="23" t="s">
        <v>24</v>
      </c>
      <c r="L17" s="26"/>
      <c r="N17" s="25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5">
        <v>63.67</v>
      </c>
      <c r="C18" s="2" t="s">
        <v>10</v>
      </c>
      <c r="D18" s="23" t="s">
        <v>24</v>
      </c>
      <c r="E18" s="2"/>
      <c r="F18" s="27" t="s">
        <v>34</v>
      </c>
      <c r="G18" s="5">
        <v>250.82</v>
      </c>
      <c r="H18" s="8">
        <v>45874.0</v>
      </c>
      <c r="I18" s="23" t="s">
        <v>24</v>
      </c>
      <c r="L18" s="24" t="s">
        <v>35</v>
      </c>
      <c r="N18" s="25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2" t="s">
        <v>36</v>
      </c>
      <c r="B19" s="5">
        <v>87.54</v>
      </c>
      <c r="C19" s="8">
        <v>45891.0</v>
      </c>
      <c r="D19" s="23" t="s">
        <v>24</v>
      </c>
      <c r="E19" s="2"/>
      <c r="F19" s="22" t="s">
        <v>37</v>
      </c>
      <c r="G19" s="5">
        <v>373.77</v>
      </c>
      <c r="H19" s="8">
        <v>45875.0</v>
      </c>
      <c r="I19" s="23" t="s">
        <v>24</v>
      </c>
      <c r="L19" s="26"/>
      <c r="N19" s="25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2" t="s">
        <v>38</v>
      </c>
      <c r="B20" s="5">
        <v>400.0</v>
      </c>
      <c r="C20" s="8">
        <v>45891.0</v>
      </c>
      <c r="D20" s="23" t="s">
        <v>24</v>
      </c>
      <c r="E20" s="2"/>
      <c r="F20" s="22" t="s">
        <v>39</v>
      </c>
      <c r="G20" s="5">
        <v>150.69</v>
      </c>
      <c r="H20" s="8">
        <v>45877.0</v>
      </c>
      <c r="I20" s="23" t="s">
        <v>24</v>
      </c>
      <c r="L20" s="26"/>
      <c r="N20" s="25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2" t="s">
        <v>40</v>
      </c>
      <c r="B21" s="5">
        <v>124.92</v>
      </c>
      <c r="C21" s="8">
        <v>45892.0</v>
      </c>
      <c r="D21" s="23" t="s">
        <v>24</v>
      </c>
      <c r="E21" s="2"/>
      <c r="F21" s="22" t="s">
        <v>41</v>
      </c>
      <c r="G21" s="5">
        <v>214.64</v>
      </c>
      <c r="H21" s="8">
        <v>45880.0</v>
      </c>
      <c r="I21" s="23" t="s">
        <v>24</v>
      </c>
      <c r="L21" s="28"/>
      <c r="M21" s="29"/>
      <c r="N21" s="30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2" t="s">
        <v>42</v>
      </c>
      <c r="B22" s="5">
        <v>44.0</v>
      </c>
      <c r="C22" s="8">
        <v>45892.0</v>
      </c>
      <c r="D22" s="23" t="s">
        <v>24</v>
      </c>
      <c r="E22" s="2"/>
      <c r="F22" s="22" t="s">
        <v>43</v>
      </c>
      <c r="G22" s="5">
        <v>71.8</v>
      </c>
      <c r="H22" s="8">
        <v>45881.0</v>
      </c>
      <c r="I22" s="23" t="s">
        <v>24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2" t="s">
        <v>44</v>
      </c>
      <c r="B23" s="5">
        <v>118.03</v>
      </c>
      <c r="C23" s="8">
        <v>45895.0</v>
      </c>
      <c r="D23" s="23" t="s">
        <v>24</v>
      </c>
      <c r="E23" s="2"/>
      <c r="F23" s="22" t="s">
        <v>29</v>
      </c>
      <c r="G23" s="5">
        <v>175.08</v>
      </c>
      <c r="H23" s="8">
        <v>45887.0</v>
      </c>
      <c r="I23" s="23" t="s">
        <v>24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2" t="s">
        <v>45</v>
      </c>
      <c r="B24" s="5">
        <v>88.52</v>
      </c>
      <c r="C24" s="8">
        <v>45896.0</v>
      </c>
      <c r="D24" s="23" t="s">
        <v>24</v>
      </c>
      <c r="E24" s="2"/>
      <c r="F24" s="22" t="s">
        <v>46</v>
      </c>
      <c r="G24" s="5">
        <v>342.01</v>
      </c>
      <c r="H24" s="8">
        <v>45889.0</v>
      </c>
      <c r="I24" s="23" t="s">
        <v>24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7" t="s">
        <v>47</v>
      </c>
      <c r="B25" s="5">
        <v>74.74</v>
      </c>
      <c r="C25" s="8">
        <v>45899.0</v>
      </c>
      <c r="D25" s="23" t="s">
        <v>24</v>
      </c>
      <c r="E25" s="2"/>
      <c r="F25" s="22" t="s">
        <v>46</v>
      </c>
      <c r="G25" s="5">
        <v>180.0</v>
      </c>
      <c r="H25" s="8">
        <v>45889.0</v>
      </c>
      <c r="I25" s="23" t="s">
        <v>24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7" t="s">
        <v>43</v>
      </c>
      <c r="B26" s="5">
        <v>146.56</v>
      </c>
      <c r="C26" s="8">
        <v>45901.0</v>
      </c>
      <c r="D26" s="23" t="s">
        <v>24</v>
      </c>
      <c r="E26" s="2"/>
      <c r="I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7">
        <v>0.0</v>
      </c>
      <c r="C27" s="2" t="s">
        <v>10</v>
      </c>
      <c r="D27" s="23" t="s">
        <v>24</v>
      </c>
      <c r="E27" s="2"/>
      <c r="F27" s="13" t="s">
        <v>13</v>
      </c>
      <c r="G27" s="14">
        <f>SUM(G14:G25)</f>
        <v>4850.99</v>
      </c>
      <c r="H27" s="15"/>
      <c r="I27" s="2"/>
      <c r="K27" s="2"/>
      <c r="L27" s="31" t="s">
        <v>48</v>
      </c>
      <c r="M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7">
        <v>0.0</v>
      </c>
      <c r="C28" s="2" t="s">
        <v>10</v>
      </c>
      <c r="D28" s="23" t="s">
        <v>24</v>
      </c>
      <c r="E28" s="2"/>
      <c r="F28" s="22" t="s">
        <v>49</v>
      </c>
      <c r="G28" s="5">
        <v>3078.24</v>
      </c>
      <c r="H28" s="5">
        <v>3078.24</v>
      </c>
      <c r="K28" s="2"/>
      <c r="L28" s="22" t="s">
        <v>50</v>
      </c>
      <c r="M28" s="5">
        <v>999.0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E29" s="2"/>
      <c r="F29" s="22" t="s">
        <v>49</v>
      </c>
      <c r="G29" s="5">
        <v>3001.0</v>
      </c>
      <c r="H29" s="2"/>
      <c r="K29" s="2"/>
      <c r="L29" s="22" t="s">
        <v>51</v>
      </c>
      <c r="M29" s="5">
        <v>599.0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 t="s">
        <v>13</v>
      </c>
      <c r="B30" s="14">
        <f>SUM(B14:B28)</f>
        <v>3924.87</v>
      </c>
      <c r="C30" s="15"/>
      <c r="D30" s="2"/>
      <c r="E30" s="2"/>
      <c r="F30" s="22" t="s">
        <v>52</v>
      </c>
      <c r="G30" s="5">
        <v>1500.0</v>
      </c>
      <c r="K30" s="2"/>
      <c r="L30" s="22" t="s">
        <v>53</v>
      </c>
      <c r="M30" s="5">
        <v>599.0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C31" s="2"/>
      <c r="D31" s="2"/>
      <c r="E31" s="2"/>
      <c r="F31" s="27" t="s">
        <v>54</v>
      </c>
      <c r="G31" s="5">
        <v>1500.0</v>
      </c>
      <c r="K31" s="2"/>
      <c r="L31" s="22" t="s">
        <v>55</v>
      </c>
      <c r="M31" s="5">
        <v>399.0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C32" s="2"/>
      <c r="D32" s="2"/>
      <c r="E32" s="2"/>
      <c r="K32" s="2"/>
      <c r="L32" s="22" t="s">
        <v>56</v>
      </c>
      <c r="M32" s="5">
        <v>399.0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K33" s="2"/>
      <c r="L33" s="2"/>
      <c r="M33" s="33">
        <v>-0.15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57</v>
      </c>
      <c r="C34" s="2"/>
      <c r="D34" s="2"/>
      <c r="E34" s="2"/>
      <c r="F34" s="34" t="s">
        <v>58</v>
      </c>
      <c r="G34" s="5">
        <f>SUM(B4-B30+1000+G29+1867.45-G30)</f>
        <v>903.31</v>
      </c>
      <c r="K34" s="35" t="s">
        <v>59</v>
      </c>
      <c r="L34" s="36">
        <f>SUM(M28:M32)</f>
        <v>2995</v>
      </c>
      <c r="M34" s="36">
        <f>L34*(1-15%)</f>
        <v>2545.75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 t="s">
        <v>60</v>
      </c>
      <c r="B35" s="7">
        <f>SUM(B30+G27+E5)</f>
        <v>8775.86</v>
      </c>
      <c r="C35" s="2"/>
      <c r="D35" s="2"/>
      <c r="E35" s="2"/>
      <c r="F35" s="10" t="s">
        <v>61</v>
      </c>
      <c r="G35" s="5">
        <f>SUM(B7+B6-G27-G28-G31+33.78)</f>
        <v>20.31</v>
      </c>
      <c r="J35" s="2"/>
      <c r="K35" s="2"/>
      <c r="L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 t="s">
        <v>62</v>
      </c>
      <c r="B36" s="7">
        <f>SUM(I3)</f>
        <v>3000</v>
      </c>
      <c r="C36" s="2"/>
      <c r="D36" s="2"/>
      <c r="F36" s="2"/>
      <c r="G36" s="2"/>
      <c r="J36" s="2"/>
      <c r="K36" s="2"/>
      <c r="L36" s="37" t="s">
        <v>63</v>
      </c>
      <c r="M36" s="36">
        <f>SUM(G34+G35+1300)</f>
        <v>2223.62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F37" s="35" t="s">
        <v>13</v>
      </c>
      <c r="G37" s="7">
        <f>SUM(G34:G35)</f>
        <v>923.62</v>
      </c>
      <c r="J37" s="2"/>
      <c r="K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 t="s">
        <v>64</v>
      </c>
      <c r="B38" s="7">
        <f>(B2-E5-B20-B36)</f>
        <v>4344</v>
      </c>
      <c r="C38" s="2"/>
      <c r="D38" s="2"/>
      <c r="J38" s="2"/>
      <c r="K38" s="2"/>
      <c r="L38" s="38" t="s">
        <v>65</v>
      </c>
      <c r="M38" s="36">
        <f>SUM(M36-M34)</f>
        <v>-322.13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J39" s="2"/>
      <c r="K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J40" s="2"/>
      <c r="K40" s="2"/>
      <c r="L40" s="38" t="s">
        <v>66</v>
      </c>
      <c r="M40" s="36">
        <f>SUM(M38-3000)</f>
        <v>-3322.13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J42" s="2"/>
      <c r="K42" s="2"/>
      <c r="L42" s="22"/>
      <c r="M42" s="2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J43" s="2"/>
      <c r="K43" s="2"/>
      <c r="L43" s="22"/>
      <c r="M43" s="2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J44" s="2"/>
      <c r="K44" s="2"/>
      <c r="M44" s="2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J45" s="2"/>
      <c r="K45" s="2"/>
      <c r="L45" s="22"/>
      <c r="M45" s="2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J46" s="2"/>
      <c r="K46" s="2"/>
      <c r="L46" s="22"/>
      <c r="M46" s="2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J47" s="2"/>
      <c r="K47" s="2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2"/>
      <c r="G56" s="5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L15:N15"/>
    <mergeCell ref="L16:N16"/>
    <mergeCell ref="L17:N17"/>
    <mergeCell ref="L18:N18"/>
    <mergeCell ref="L19:N19"/>
    <mergeCell ref="L20:N20"/>
    <mergeCell ref="L21:N21"/>
    <mergeCell ref="A34:B34"/>
    <mergeCell ref="A1:B1"/>
    <mergeCell ref="D1:F1"/>
    <mergeCell ref="H1:J1"/>
    <mergeCell ref="A12:D12"/>
    <mergeCell ref="F12:I12"/>
    <mergeCell ref="L13:N13"/>
    <mergeCell ref="L14:N14"/>
  </mergeCells>
  <dataValidations>
    <dataValidation type="list" allowBlank="1" showErrorMessage="1" sqref="I14:I25 D14:D28">
      <formula1>"Pendiente,Pagado"</formula1>
    </dataValidation>
  </dataValidations>
  <drawing r:id="rId1"/>
</worksheet>
</file>