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<sst xmlns="http://schemas.openxmlformats.org/spreadsheetml/2006/main" count="84" uniqueCount="41">
  <si>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</si>
  <si>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</si>
  <si>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</si>
  <si>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</si>
  <si>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</si>
  <si>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</si>
  <si>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</si>
  <si>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</si>
  <si>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</si>
  <si>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DD/MM/AAAA</t>
  </si>
  <si>
    <t>Celular</t>
  </si>
  <si>
    <t>Guardado</t>
  </si>
  <si>
    <t>Ventilador</t>
  </si>
  <si>
    <t>Monopatin</t>
  </si>
  <si>
    <t>Gimnasio</t>
  </si>
  <si>
    <t>Total</t>
  </si>
  <si>
    <t>Compras</t>
  </si>
  <si>
    <t>Cosas</t>
  </si>
  <si>
    <t>Costo</t>
  </si>
  <si>
    <t xml:space="preserve">Fecha de pago </t>
  </si>
  <si>
    <t>Estado</t>
  </si>
  <si>
    <t>NOTAS</t>
  </si>
  <si>
    <t>Resumen</t>
  </si>
  <si>
    <t xml:space="preserve">Total gastos </t>
  </si>
  <si>
    <t>Enero</t>
  </si>
  <si>
    <t>Julio</t>
  </si>
  <si>
    <t>Mayo</t>
  </si>
  <si>
    <t>Total ahorros</t>
  </si>
  <si>
    <t>Ingreso</t>
  </si>
  <si>
    <t xml:space="preserve">Disponible </t>
  </si>
  <si>
    <t>Gastos fijos</t>
  </si>
  <si>
    <t>Creditel</t>
  </si>
  <si>
    <t>Celulares</t>
  </si>
  <si>
    <t>Pago despues</t>
  </si>
  <si>
    <t>Internet</t>
  </si>
  <si>
    <t>Higiene personal</t>
  </si>
  <si>
    <t>Auto</t>
  </si>
  <si>
    <t>Random</t>
  </si>
  <si>
    <t>Gustos</t>
  </si>
  <si>
    <t>Familia</t>
  </si>
  <si>
    <t>Total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</si>
</sst>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vertical="bottom"/>
    </xf>
    <xf borderId="5" fillId="0" fontId="4" numFmtId="0" xfId="0" applyBorder="1" applyFont="1"/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1" fillId="3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4" fillId="5" fontId="3" numFmtId="0" xfId="0" applyAlignment="1" applyBorder="1" applyFill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5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readingOrder="0" vertical="bottom"/>
    </xf>
    <xf borderId="4" fillId="3" fontId="3" numFmtId="0" xfId="0" applyAlignment="1" applyBorder="1" applyFont="1">
      <alignment horizontal="center" readingOrder="0" vertical="bottom"/>
    </xf>
    <xf borderId="4" fillId="5" fontId="5" numFmtId="0" xfId="0" applyAlignment="1" applyBorder="1" applyFont="1">
      <alignment readingOrder="0"/>
    </xf>
    <xf borderId="0" fillId="0" fontId="2" numFmtId="164" xfId="0" applyAlignment="1" applyFont="1" applyNumberFormat="1">
      <alignment vertical="bottom"/>
    </xf>
    <xf borderId="4" fillId="0" fontId="6" numFmtId="0" xfId="0" applyBorder="1" applyFont="1"/>
    <xf borderId="6" fillId="5" fontId="3" numFmtId="0" xfId="0" applyAlignment="1" applyBorder="1" applyFont="1">
      <alignment readingOrder="0" vertical="bottom"/>
    </xf>
    <xf borderId="7" fillId="0" fontId="2" numFmtId="164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10" max="10" width="15.13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0.0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 t="s">
        <v>9</v>
      </c>
      <c r="C3" s="2"/>
      <c r="D3" s="4" t="s">
        <v>10</v>
      </c>
      <c r="E3" s="5">
        <v>0.0</v>
      </c>
      <c r="F3" s="6" t="s">
        <v>9</v>
      </c>
      <c r="G3" s="2"/>
      <c r="H3" s="4" t="s">
        <v>11</v>
      </c>
      <c r="I3" s="5">
        <v>0.0</v>
      </c>
      <c r="J3" s="6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 t="s">
        <v>12</v>
      </c>
      <c r="E4" s="5">
        <v>0.0</v>
      </c>
      <c r="F4" s="2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7"/>
      <c r="C5" s="7"/>
      <c r="D5" s="4" t="s">
        <v>13</v>
      </c>
      <c r="E5" s="5">
        <v>0.0</v>
      </c>
      <c r="F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7"/>
      <c r="C6" s="7"/>
      <c r="D6" s="4" t="s">
        <v>14</v>
      </c>
      <c r="E6" s="5">
        <v>0.0</v>
      </c>
      <c r="F6" s="2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/>
      <c r="C8" s="7"/>
      <c r="D8" s="8" t="s">
        <v>15</v>
      </c>
      <c r="E8" s="9">
        <f>SUM(E3:E6)</f>
        <v>0</v>
      </c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7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17</v>
      </c>
      <c r="B13" s="4" t="s">
        <v>18</v>
      </c>
      <c r="C13" s="4" t="s">
        <v>19</v>
      </c>
      <c r="D13" s="4" t="s">
        <v>20</v>
      </c>
      <c r="E13" s="2"/>
      <c r="F13" s="2"/>
      <c r="G13" s="2"/>
      <c r="H13" s="11" t="s">
        <v>21</v>
      </c>
      <c r="I13" s="1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>
        <v>0.0</v>
      </c>
      <c r="C14" s="2" t="s">
        <v>9</v>
      </c>
      <c r="D14" s="2"/>
      <c r="E14" s="2"/>
      <c r="F14" s="2"/>
      <c r="G14" s="2"/>
      <c r="H14" s="14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>
        <v>0.0</v>
      </c>
      <c r="C15" s="2" t="s">
        <v>9</v>
      </c>
      <c r="D15" s="2"/>
      <c r="E15" s="2"/>
      <c r="F15" s="2"/>
      <c r="G15" s="2"/>
      <c r="H15" s="14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>
        <v>0.0</v>
      </c>
      <c r="C16" s="2" t="s">
        <v>9</v>
      </c>
      <c r="D16" s="2"/>
      <c r="E16" s="2"/>
      <c r="F16" s="2"/>
      <c r="G16" s="2"/>
      <c r="H16" s="14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>
        <v>0.0</v>
      </c>
      <c r="C17" s="2" t="s">
        <v>9</v>
      </c>
      <c r="D17" s="2"/>
      <c r="E17" s="2"/>
      <c r="F17" s="2"/>
      <c r="G17" s="2"/>
      <c r="H17" s="14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>
        <v>0.0</v>
      </c>
      <c r="C18" s="2" t="s">
        <v>9</v>
      </c>
      <c r="D18" s="2"/>
      <c r="E18" s="2"/>
      <c r="F18" s="2"/>
      <c r="G18" s="2"/>
      <c r="H18" s="14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14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15</v>
      </c>
      <c r="B20" s="9">
        <f>SUM(B14:B18)</f>
        <v>0</v>
      </c>
      <c r="C20" s="10"/>
      <c r="D20" s="2"/>
      <c r="E20" s="2"/>
      <c r="F20" s="2"/>
      <c r="G20" s="2"/>
      <c r="H20" s="14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23</v>
      </c>
      <c r="B24" s="5">
        <v>0.0</v>
      </c>
      <c r="C24" s="2"/>
      <c r="D24" s="2"/>
      <c r="E24" s="2"/>
      <c r="F24" s="19" t="s">
        <v>24</v>
      </c>
      <c r="G24" s="12"/>
      <c r="H24" s="13"/>
      <c r="I24" s="2"/>
      <c r="J24" s="19" t="s">
        <v>25</v>
      </c>
      <c r="K24" s="12"/>
      <c r="L24" s="13"/>
      <c r="M24" s="2"/>
      <c r="N24" s="19" t="s">
        <v>26</v>
      </c>
      <c r="O24" s="12"/>
      <c r="P24" s="1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27</v>
      </c>
      <c r="B25" s="5">
        <v>0.0</v>
      </c>
      <c r="C25" s="2"/>
      <c r="D25" s="2"/>
      <c r="E25" s="2"/>
      <c r="F25" s="14"/>
      <c r="G25" s="2"/>
      <c r="H25" s="20"/>
      <c r="I25" s="2"/>
      <c r="J25" s="14"/>
      <c r="K25" s="2"/>
      <c r="L25" s="20"/>
      <c r="M25" s="2"/>
      <c r="N25" s="14"/>
      <c r="O25" s="2"/>
      <c r="P25" s="20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1" t="s">
        <v>28</v>
      </c>
      <c r="G26" s="22">
        <v>37200.0</v>
      </c>
      <c r="H26" s="23">
        <f>G26*81.9%</f>
        <v>30466.8</v>
      </c>
      <c r="I26" s="2"/>
      <c r="J26" s="21" t="s">
        <v>28</v>
      </c>
      <c r="K26" s="22">
        <v>37200.0</v>
      </c>
      <c r="L26" s="23">
        <f>K26*81.9%</f>
        <v>30466.8</v>
      </c>
      <c r="M26" s="2"/>
      <c r="N26" s="21" t="s">
        <v>28</v>
      </c>
      <c r="O26" s="22">
        <v>37200.0</v>
      </c>
      <c r="P26" s="23">
        <f>O26*81.9%</f>
        <v>30466.8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29</v>
      </c>
      <c r="B27" s="5">
        <f>(B2-E8-B20-B25)</f>
        <v>0</v>
      </c>
      <c r="C27" s="2"/>
      <c r="D27" s="2"/>
      <c r="E27" s="2"/>
      <c r="F27" s="14"/>
      <c r="G27" s="2"/>
      <c r="H27" s="20"/>
      <c r="I27" s="24"/>
      <c r="J27" s="14"/>
      <c r="K27" s="2"/>
      <c r="L27" s="20"/>
      <c r="M27" s="2"/>
      <c r="N27" s="14"/>
      <c r="O27" s="2"/>
      <c r="P27" s="20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5" t="s">
        <v>30</v>
      </c>
      <c r="H28" s="20"/>
      <c r="I28" s="2"/>
      <c r="J28" s="25" t="s">
        <v>30</v>
      </c>
      <c r="L28" s="20"/>
      <c r="M28" s="2"/>
      <c r="N28" s="25" t="s">
        <v>30</v>
      </c>
      <c r="P28" s="20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1" t="s">
        <v>31</v>
      </c>
      <c r="G29" s="22">
        <v>2706.0</v>
      </c>
      <c r="H29" s="20"/>
      <c r="I29" s="2"/>
      <c r="J29" s="21" t="s">
        <v>32</v>
      </c>
      <c r="K29" s="22">
        <v>2000.0</v>
      </c>
      <c r="L29" s="20"/>
      <c r="M29" s="2"/>
      <c r="N29" s="26" t="s">
        <v>31</v>
      </c>
      <c r="O29" s="22">
        <v>2706.0</v>
      </c>
      <c r="P29" s="20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1" t="s">
        <v>33</v>
      </c>
      <c r="G30" s="22">
        <v>2122.0</v>
      </c>
      <c r="H30" s="20"/>
      <c r="I30" s="2"/>
      <c r="J30" s="21" t="s">
        <v>34</v>
      </c>
      <c r="K30" s="22">
        <v>1103.0</v>
      </c>
      <c r="L30" s="20"/>
      <c r="M30" s="2"/>
      <c r="N30" s="21" t="s">
        <v>32</v>
      </c>
      <c r="O30" s="22">
        <v>2000.0</v>
      </c>
      <c r="P30" s="20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1" t="s">
        <v>32</v>
      </c>
      <c r="G31" s="22">
        <v>2000.0</v>
      </c>
      <c r="H31" s="20"/>
      <c r="I31" s="2"/>
      <c r="J31" s="21" t="s">
        <v>35</v>
      </c>
      <c r="K31" s="22">
        <v>570.0</v>
      </c>
      <c r="L31" s="20"/>
      <c r="M31" s="2"/>
      <c r="N31" s="21" t="s">
        <v>34</v>
      </c>
      <c r="O31" s="22">
        <v>1103.0</v>
      </c>
      <c r="P31" s="20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1" t="s">
        <v>34</v>
      </c>
      <c r="G32" s="22">
        <v>1103.0</v>
      </c>
      <c r="H32" s="20"/>
      <c r="I32" s="2"/>
      <c r="J32" s="14"/>
      <c r="K32" s="2"/>
      <c r="L32" s="20"/>
      <c r="M32" s="2"/>
      <c r="N32" s="21" t="s">
        <v>35</v>
      </c>
      <c r="O32" s="22">
        <v>570.0</v>
      </c>
      <c r="P32" s="20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1" t="s">
        <v>35</v>
      </c>
      <c r="G33" s="22">
        <v>570.0</v>
      </c>
      <c r="H33" s="20"/>
      <c r="I33" s="2"/>
      <c r="J33" s="21" t="s">
        <v>15</v>
      </c>
      <c r="K33" s="27">
        <f>SUM(K29:K31)</f>
        <v>3673</v>
      </c>
      <c r="L33" s="20"/>
      <c r="M33" s="2"/>
      <c r="N33" s="14"/>
      <c r="O33" s="2"/>
      <c r="P33" s="20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4"/>
      <c r="G34" s="2"/>
      <c r="H34" s="20"/>
      <c r="I34" s="2"/>
      <c r="J34" s="14"/>
      <c r="K34" s="2"/>
      <c r="L34" s="20"/>
      <c r="M34" s="2"/>
      <c r="N34" s="21" t="s">
        <v>15</v>
      </c>
      <c r="O34" s="27">
        <f>SUM(O29:O32)</f>
        <v>6379</v>
      </c>
      <c r="P34" s="20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1" t="s">
        <v>15</v>
      </c>
      <c r="G35" s="2">
        <f>SUM(G28:G33)</f>
        <v>8501</v>
      </c>
      <c r="H35" s="20"/>
      <c r="I35" s="2"/>
      <c r="J35" s="25" t="s">
        <v>2</v>
      </c>
      <c r="L35" s="20"/>
      <c r="M35" s="2"/>
      <c r="N35" s="14"/>
      <c r="O35" s="2"/>
      <c r="P35" s="20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4"/>
      <c r="G36" s="2"/>
      <c r="H36" s="20"/>
      <c r="I36" s="2"/>
      <c r="J36" s="21" t="s">
        <v>36</v>
      </c>
      <c r="K36" s="22">
        <v>10000.0</v>
      </c>
      <c r="L36" s="20"/>
      <c r="M36" s="2"/>
      <c r="N36" s="25" t="s">
        <v>2</v>
      </c>
      <c r="P36" s="20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5" t="s">
        <v>2</v>
      </c>
      <c r="H37" s="20"/>
      <c r="I37" s="2"/>
      <c r="J37" s="28"/>
      <c r="K37" s="2"/>
      <c r="L37" s="20"/>
      <c r="M37" s="2"/>
      <c r="N37" s="21" t="s">
        <v>36</v>
      </c>
      <c r="O37" s="22">
        <v>10000.0</v>
      </c>
      <c r="P37" s="20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1" t="s">
        <v>13</v>
      </c>
      <c r="G38" s="22">
        <v>10000.0</v>
      </c>
      <c r="H38" s="20"/>
      <c r="I38" s="2"/>
      <c r="J38" s="25" t="s">
        <v>37</v>
      </c>
      <c r="L38" s="20"/>
      <c r="M38" s="2"/>
      <c r="N38" s="28"/>
      <c r="O38" s="2"/>
      <c r="P38" s="20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4"/>
      <c r="G39" s="2"/>
      <c r="H39" s="20"/>
      <c r="I39" s="2"/>
      <c r="J39" s="21" t="s">
        <v>38</v>
      </c>
      <c r="K39" s="22">
        <v>3000.0</v>
      </c>
      <c r="L39" s="20"/>
      <c r="M39" s="2"/>
      <c r="N39" s="25" t="s">
        <v>37</v>
      </c>
      <c r="P39" s="20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5" t="s">
        <v>37</v>
      </c>
      <c r="H40" s="20"/>
      <c r="I40" s="2"/>
      <c r="J40" s="14"/>
      <c r="K40" s="2"/>
      <c r="L40" s="20"/>
      <c r="M40" s="2"/>
      <c r="N40" s="21" t="s">
        <v>38</v>
      </c>
      <c r="O40" s="22">
        <v>3000.0</v>
      </c>
      <c r="P40" s="20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1" t="s">
        <v>38</v>
      </c>
      <c r="G41" s="22">
        <v>3000.0</v>
      </c>
      <c r="H41" s="20"/>
      <c r="I41" s="2"/>
      <c r="J41" s="25" t="s">
        <v>39</v>
      </c>
      <c r="L41" s="20"/>
      <c r="M41" s="2"/>
      <c r="N41" s="14"/>
      <c r="O41" s="2"/>
      <c r="P41" s="20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4"/>
      <c r="G42" s="2"/>
      <c r="H42" s="20"/>
      <c r="I42" s="2"/>
      <c r="J42" s="21" t="s">
        <v>17</v>
      </c>
      <c r="K42" s="22">
        <v>4000.0</v>
      </c>
      <c r="L42" s="20"/>
      <c r="M42" s="2"/>
      <c r="N42" s="25" t="s">
        <v>39</v>
      </c>
      <c r="P42" s="20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5" t="s">
        <v>39</v>
      </c>
      <c r="H43" s="20"/>
      <c r="I43" s="2"/>
      <c r="J43" s="14"/>
      <c r="K43" s="2"/>
      <c r="L43" s="20"/>
      <c r="M43" s="2"/>
      <c r="N43" s="21" t="s">
        <v>17</v>
      </c>
      <c r="O43" s="22">
        <v>4000.0</v>
      </c>
      <c r="P43" s="20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1" t="s">
        <v>17</v>
      </c>
      <c r="G44" s="22">
        <v>4000.0</v>
      </c>
      <c r="H44" s="20"/>
      <c r="I44" s="2"/>
      <c r="J44" s="29" t="s">
        <v>40</v>
      </c>
      <c r="K44" s="30">
        <f>SUM(L26-K33-K36-K39-K42)</f>
        <v>9793.8</v>
      </c>
      <c r="L44" s="31"/>
      <c r="M44" s="2"/>
      <c r="N44" s="14"/>
      <c r="O44" s="2"/>
      <c r="P44" s="20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4"/>
      <c r="G45" s="2"/>
      <c r="H45" s="20"/>
      <c r="I45" s="2"/>
      <c r="J45" s="2"/>
      <c r="K45" s="2"/>
      <c r="L45" s="2"/>
      <c r="M45" s="2"/>
      <c r="N45" s="29" t="s">
        <v>40</v>
      </c>
      <c r="O45" s="30">
        <f>SUM(P26-O34-O37-O40-O43)</f>
        <v>7087.8</v>
      </c>
      <c r="P45" s="3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4"/>
      <c r="G46" s="2"/>
      <c r="H46" s="2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9" t="s">
        <v>40</v>
      </c>
      <c r="G47" s="30">
        <f>SUM(H26-G35-G38-G41-G44)</f>
        <v>4965.8</v>
      </c>
      <c r="H47" s="3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9">
    <mergeCell ref="A1:B1"/>
    <mergeCell ref="D1:F1"/>
    <mergeCell ref="H1:J1"/>
    <mergeCell ref="A12:D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A23:B23"/>
    <mergeCell ref="J35:K35"/>
    <mergeCell ref="F37:G37"/>
    <mergeCell ref="J38:K38"/>
    <mergeCell ref="N39:O39"/>
    <mergeCell ref="F40:G40"/>
    <mergeCell ref="J41:K41"/>
    <mergeCell ref="N42:O42"/>
    <mergeCell ref="F43:G43"/>
    <mergeCell ref="F24:H24"/>
    <mergeCell ref="J24:L24"/>
    <mergeCell ref="N24:P24"/>
    <mergeCell ref="F28:G28"/>
    <mergeCell ref="J28:K28"/>
    <mergeCell ref="N28:O28"/>
    <mergeCell ref="N36:O36"/>
  </mergeCells>
  <dataValidations>
    <dataValidation type="list" allowBlank="1" showErrorMessage="1" sqref="D14:D18">
      <formula1>"Pendiente,Pagado"</formula1>
    </dataValidation>
  </dataValidations>
  <drawing r:id="rId1"/>
</worksheet>
</file>