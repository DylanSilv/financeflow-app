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<sst xmlns="http://schemas.openxmlformats.org/spreadsheetml/2006/main" count="96" uniqueCount="60">
  <si>
    <t xml:space="preserve">Datos Generales </t>
  </si>
  <si>
    <t xml:space="preserve">Gastos Fijos </t>
  </si>
  <si>
    <t>Ahorro</t>
  </si>
  <si>
    <t>Cobro</t>
  </si>
  <si>
    <t>Categorias</t>
  </si>
  <si>
    <t>Monto</t>
  </si>
  <si>
    <t>Fecha de pago</t>
  </si>
  <si>
    <t>Objetivo</t>
  </si>
  <si>
    <t>Fecha de ingreso</t>
  </si>
  <si>
    <t>Celular</t>
  </si>
  <si>
    <t>Guardado</t>
  </si>
  <si>
    <t>Ventilador</t>
  </si>
  <si>
    <t>Monopatin</t>
  </si>
  <si>
    <t>Gimnasio</t>
  </si>
  <si>
    <t>Total</t>
  </si>
  <si>
    <t>Compras</t>
  </si>
  <si>
    <t xml:space="preserve">Disponible actualmente </t>
  </si>
  <si>
    <t>NOTAS</t>
  </si>
  <si>
    <t>Cosas</t>
  </si>
  <si>
    <t>Costo</t>
  </si>
  <si>
    <t xml:space="preserve">Fecha de pago </t>
  </si>
  <si>
    <t>Estado</t>
  </si>
  <si>
    <t xml:space="preserve">Saldo </t>
  </si>
  <si>
    <t xml:space="preserve">2/6 cuota de monopatin </t>
  </si>
  <si>
    <t>cerveza y coca</t>
  </si>
  <si>
    <t>Pagado</t>
  </si>
  <si>
    <t xml:space="preserve">2/2 cuota de ventilador </t>
  </si>
  <si>
    <t>chocolatada y yogur</t>
  </si>
  <si>
    <t>Celulares</t>
  </si>
  <si>
    <t>Este mes pague los celulares</t>
  </si>
  <si>
    <t xml:space="preserve">Pan y manteca </t>
  </si>
  <si>
    <t>Coca y queso</t>
  </si>
  <si>
    <t xml:space="preserve">hamburguesas </t>
  </si>
  <si>
    <t xml:space="preserve">Bucal </t>
  </si>
  <si>
    <t xml:space="preserve">Desodorante </t>
  </si>
  <si>
    <t>Desodorante pie</t>
  </si>
  <si>
    <t>Surtido macro</t>
  </si>
  <si>
    <t>galletitas</t>
  </si>
  <si>
    <t>Coca</t>
  </si>
  <si>
    <t>Coca y muzza (mitad devolucion)</t>
  </si>
  <si>
    <t>chocolatada y alfajores (mitad dev)</t>
  </si>
  <si>
    <t xml:space="preserve">prestado </t>
  </si>
  <si>
    <t>banana</t>
  </si>
  <si>
    <t>alfajores</t>
  </si>
  <si>
    <t>coca</t>
  </si>
  <si>
    <t xml:space="preserve">colet y alfajores </t>
  </si>
  <si>
    <t xml:space="preserve">huevos banana </t>
  </si>
  <si>
    <t xml:space="preserve">alfajor y doritos </t>
  </si>
  <si>
    <t>alfajor</t>
  </si>
  <si>
    <t>milanes con puré y coca (mitad devolucion)</t>
  </si>
  <si>
    <t>chocolatada (compra kevin)</t>
  </si>
  <si>
    <t>Alfajores</t>
  </si>
  <si>
    <t xml:space="preserve">leche </t>
  </si>
  <si>
    <t>devolución kevin (choco. mila y pure)</t>
  </si>
  <si>
    <t>devolución kev (coca, colet, alfaj y bizcos)</t>
  </si>
  <si>
    <t>Resumen</t>
  </si>
  <si>
    <t xml:space="preserve">Total gastos </t>
  </si>
  <si>
    <t>Total ahorros</t>
  </si>
  <si>
    <t>Billetera</t>
  </si>
  <si>
    <t xml:space="preserve">Disponible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</si>
</sst>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dd/mm/yyyy"/>
    <numFmt numFmtId="166" formatCode="&quot;$&quot;#,##0"/>
  </numFmts>
  <fonts count="6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</font>
    <font>
      <b/>
      <color theme="1"/>
      <name val="Arial"/>
    </font>
    <font/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1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horizontal="right" readingOrder="0" vertical="bottom"/>
    </xf>
    <xf borderId="0" fillId="0" fontId="2" numFmtId="165" xfId="0" applyAlignment="1" applyFont="1" applyNumberFormat="1">
      <alignment readingOrder="0" vertical="bottom"/>
    </xf>
    <xf borderId="0" fillId="0" fontId="2" numFmtId="166" xfId="0" applyAlignment="1" applyFont="1" applyNumberFormat="1">
      <alignment horizontal="right" vertical="bottom"/>
    </xf>
    <xf borderId="0" fillId="0" fontId="2" numFmtId="164" xfId="0" applyAlignment="1" applyFont="1" applyNumberFormat="1">
      <alignment horizontal="right" vertical="bottom"/>
    </xf>
    <xf borderId="0" fillId="4" fontId="2" numFmtId="0" xfId="0" applyAlignment="1" applyFill="1" applyFont="1">
      <alignment vertical="bottom"/>
    </xf>
    <xf borderId="0" fillId="0" fontId="2" numFmtId="166" xfId="0" applyAlignment="1" applyFont="1" applyNumberFormat="1">
      <alignment horizontal="right" readingOrder="0" vertical="bottom"/>
    </xf>
    <xf borderId="0" fillId="3" fontId="3" numFmtId="0" xfId="0" applyAlignment="1" applyFont="1">
      <alignment vertical="bottom"/>
    </xf>
    <xf borderId="0" fillId="3" fontId="2" numFmtId="164" xfId="0" applyAlignment="1" applyFont="1" applyNumberFormat="1">
      <alignment horizontal="right" vertical="bottom"/>
    </xf>
    <xf borderId="0" fillId="3" fontId="2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1" fillId="3" fontId="1" numFmtId="0" xfId="0" applyAlignment="1" applyBorder="1" applyFont="1">
      <alignment horizontal="center" vertical="bottom"/>
    </xf>
    <xf borderId="2" fillId="0" fontId="4" numFmtId="0" xfId="0" applyBorder="1" applyFont="1"/>
    <xf borderId="3" fillId="0" fontId="4" numFmtId="0" xfId="0" applyBorder="1" applyFont="1"/>
    <xf borderId="0" fillId="0" fontId="2" numFmtId="0" xfId="0" applyAlignment="1" applyFont="1">
      <alignment readingOrder="0" vertical="bottom"/>
    </xf>
    <xf borderId="0" fillId="0" fontId="2" numFmtId="164" xfId="0" applyAlignment="1" applyFont="1" applyNumberFormat="1">
      <alignment vertical="bottom"/>
    </xf>
    <xf borderId="4" fillId="0" fontId="2" numFmtId="0" xfId="0" applyAlignment="1" applyBorder="1" applyFont="1">
      <alignment readingOrder="0" vertical="bottom"/>
    </xf>
    <xf borderId="5" fillId="0" fontId="4" numFmtId="0" xfId="0" applyBorder="1" applyFont="1"/>
    <xf borderId="0" fillId="0" fontId="2" numFmtId="0" xfId="0" applyAlignment="1" applyFont="1">
      <alignment readingOrder="0" shrinkToFit="0" vertical="bottom" wrapText="1"/>
    </xf>
    <xf borderId="4" fillId="0" fontId="2" numFmtId="0" xfId="0" applyAlignment="1" applyBorder="1" applyFont="1">
      <alignment vertical="bottom"/>
    </xf>
    <xf borderId="0" fillId="0" fontId="5" numFmtId="0" xfId="0" applyAlignment="1" applyFont="1">
      <alignment readingOrder="0"/>
    </xf>
    <xf borderId="0" fillId="0" fontId="5" numFmtId="165" xfId="0" applyAlignment="1" applyFont="1" applyNumberFormat="1">
      <alignment readingOrder="0"/>
    </xf>
    <xf borderId="6" fillId="0" fontId="2" numFmtId="0" xfId="0" applyAlignment="1" applyBorder="1" applyFont="1">
      <alignment vertical="bottom"/>
    </xf>
    <xf borderId="7" fillId="0" fontId="4" numFmtId="0" xfId="0" applyBorder="1" applyFont="1"/>
    <xf borderId="8" fillId="0" fontId="4" numFmtId="0" xfId="0" applyBorder="1" applyFont="1"/>
    <xf borderId="0" fillId="0" fontId="2" numFmtId="165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75"/>
    <col customWidth="1" min="10" max="10" width="16.75"/>
  </cols>
  <sheetData>
    <row r="1">
      <c r="A1" s="1" t="s">
        <v>0</v>
      </c>
      <c r="C1" s="2"/>
      <c r="D1" s="3" t="s">
        <v>1</v>
      </c>
      <c r="G1" s="2"/>
      <c r="H1" s="1" t="s">
        <v>2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3</v>
      </c>
      <c r="B2" s="5">
        <v>18397.0</v>
      </c>
      <c r="C2" s="2"/>
      <c r="D2" s="4" t="s">
        <v>4</v>
      </c>
      <c r="E2" s="4" t="s">
        <v>5</v>
      </c>
      <c r="F2" s="4" t="s">
        <v>6</v>
      </c>
      <c r="G2" s="2"/>
      <c r="H2" s="4" t="s">
        <v>7</v>
      </c>
      <c r="I2" s="4" t="s">
        <v>5</v>
      </c>
      <c r="J2" s="4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8</v>
      </c>
      <c r="B3" s="6">
        <v>45721.0</v>
      </c>
      <c r="C3" s="2"/>
      <c r="D3" s="4" t="s">
        <v>9</v>
      </c>
      <c r="E3" s="7">
        <v>500.0</v>
      </c>
      <c r="F3" s="6">
        <v>45723.0</v>
      </c>
      <c r="G3" s="2"/>
      <c r="H3" s="4" t="s">
        <v>10</v>
      </c>
      <c r="I3" s="5">
        <v>3000.0</v>
      </c>
      <c r="J3" s="6">
        <v>45724.0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"/>
      <c r="B4" s="2"/>
      <c r="C4" s="2"/>
      <c r="D4" s="4" t="s">
        <v>11</v>
      </c>
      <c r="E4" s="8">
        <v>747.5</v>
      </c>
      <c r="F4" s="6">
        <v>45723.0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9"/>
      <c r="C5" s="9"/>
      <c r="D5" s="4" t="s">
        <v>12</v>
      </c>
      <c r="E5" s="7">
        <v>1831.67</v>
      </c>
      <c r="F5" s="6">
        <v>45723.0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9"/>
      <c r="C6" s="9"/>
      <c r="D6" s="4" t="s">
        <v>13</v>
      </c>
      <c r="E6" s="10">
        <v>1490.0</v>
      </c>
      <c r="F6" s="6">
        <v>45726.0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/>
      <c r="B7" s="9"/>
      <c r="C7" s="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/>
      <c r="B8" s="9"/>
      <c r="C8" s="9"/>
      <c r="D8" s="11" t="s">
        <v>14</v>
      </c>
      <c r="E8" s="12">
        <f>SUM(E3:E6)</f>
        <v>4569.17</v>
      </c>
      <c r="F8" s="13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/>
      <c r="B9" s="9"/>
      <c r="C9" s="9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15</v>
      </c>
      <c r="E12" s="2"/>
      <c r="F12" s="14" t="s">
        <v>16</v>
      </c>
      <c r="H12" s="2"/>
      <c r="I12" s="15" t="s">
        <v>17</v>
      </c>
      <c r="J12" s="16"/>
      <c r="K12" s="1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18</v>
      </c>
      <c r="B13" s="4" t="s">
        <v>19</v>
      </c>
      <c r="C13" s="4" t="s">
        <v>20</v>
      </c>
      <c r="D13" s="4" t="s">
        <v>21</v>
      </c>
      <c r="E13" s="2"/>
      <c r="F13" s="18" t="s">
        <v>22</v>
      </c>
      <c r="G13" s="19">
        <f>SUM(500+B2-B14-B15-E3-E4-E5-B16-16-167.13-4.89-B17-B18+2.54-I3-B19-E6-13.55-B20-B21-B22+14.02-B23-B24+0.59-B25+2.62-B26+4.9-B27+6.18-B28+0.98+8.55-B29-B30-B31-B32+B47-B33-B34-B35-B36-B37-B38-B39-B40+B46-B41-B42)</f>
        <v>3154.29</v>
      </c>
      <c r="I13" s="20" t="s">
        <v>23</v>
      </c>
      <c r="K13" s="21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18" t="s">
        <v>24</v>
      </c>
      <c r="B14" s="5">
        <v>324.0</v>
      </c>
      <c r="C14" s="6">
        <v>45721.0</v>
      </c>
      <c r="D14" s="18" t="s">
        <v>25</v>
      </c>
      <c r="E14" s="2"/>
      <c r="F14" s="2"/>
      <c r="G14" s="2"/>
      <c r="I14" s="20" t="s">
        <v>26</v>
      </c>
      <c r="K14" s="21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2" t="s">
        <v>27</v>
      </c>
      <c r="B15" s="5">
        <v>186.3</v>
      </c>
      <c r="C15" s="6">
        <v>45723.0</v>
      </c>
      <c r="D15" s="18" t="s">
        <v>25</v>
      </c>
      <c r="E15" s="2"/>
      <c r="F15" s="2"/>
      <c r="G15" s="2"/>
      <c r="I15" s="23"/>
      <c r="K15" s="21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18" t="s">
        <v>28</v>
      </c>
      <c r="B16" s="5">
        <v>920.0</v>
      </c>
      <c r="C16" s="6">
        <v>45723.0</v>
      </c>
      <c r="D16" s="18" t="s">
        <v>25</v>
      </c>
      <c r="E16" s="2"/>
      <c r="F16" s="2"/>
      <c r="G16" s="2"/>
      <c r="I16" s="20" t="s">
        <v>29</v>
      </c>
      <c r="K16" s="21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18" t="s">
        <v>30</v>
      </c>
      <c r="B17" s="5">
        <v>110.0</v>
      </c>
      <c r="C17" s="6">
        <v>45724.0</v>
      </c>
      <c r="D17" s="18" t="s">
        <v>25</v>
      </c>
      <c r="E17" s="2"/>
      <c r="F17" s="2"/>
      <c r="G17" s="2"/>
      <c r="I17" s="23"/>
      <c r="K17" s="21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8" t="s">
        <v>31</v>
      </c>
      <c r="B18" s="5">
        <v>165.0</v>
      </c>
      <c r="C18" s="6">
        <v>45724.0</v>
      </c>
      <c r="D18" s="18" t="s">
        <v>25</v>
      </c>
      <c r="E18" s="2"/>
      <c r="F18" s="2"/>
      <c r="G18" s="2"/>
      <c r="I18" s="23"/>
      <c r="K18" s="21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18" t="s">
        <v>32</v>
      </c>
      <c r="B19" s="5">
        <v>359.56</v>
      </c>
      <c r="C19" s="6">
        <v>45725.0</v>
      </c>
      <c r="D19" s="18" t="s">
        <v>25</v>
      </c>
      <c r="E19" s="2"/>
      <c r="F19" s="2"/>
      <c r="G19" s="2"/>
      <c r="I19" s="23"/>
      <c r="K19" s="21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4" t="s">
        <v>33</v>
      </c>
      <c r="B20" s="5">
        <v>436.98</v>
      </c>
      <c r="C20" s="25">
        <v>45726.0</v>
      </c>
      <c r="D20" s="18" t="s">
        <v>25</v>
      </c>
      <c r="E20" s="2"/>
      <c r="F20" s="2"/>
      <c r="G20" s="2"/>
      <c r="I20" s="26"/>
      <c r="J20" s="27"/>
      <c r="K20" s="2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4" t="s">
        <v>34</v>
      </c>
      <c r="B21" s="5">
        <v>190.45</v>
      </c>
      <c r="C21" s="25">
        <v>45726.0</v>
      </c>
      <c r="D21" s="18" t="s">
        <v>25</v>
      </c>
      <c r="E21" s="2"/>
      <c r="F21" s="2"/>
      <c r="G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18" t="s">
        <v>35</v>
      </c>
      <c r="B22" s="5">
        <v>226.59</v>
      </c>
      <c r="C22" s="25">
        <v>45726.0</v>
      </c>
      <c r="D22" s="18" t="s">
        <v>25</v>
      </c>
      <c r="E22" s="2"/>
      <c r="F22" s="2"/>
      <c r="G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4" t="s">
        <v>36</v>
      </c>
      <c r="B23" s="5">
        <v>3000.0</v>
      </c>
      <c r="C23" s="6">
        <v>45727.0</v>
      </c>
      <c r="D23" s="18" t="s">
        <v>25</v>
      </c>
      <c r="E23" s="2"/>
      <c r="F23" s="2"/>
      <c r="G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4" t="s">
        <v>37</v>
      </c>
      <c r="B24" s="5">
        <v>36.0</v>
      </c>
      <c r="C24" s="25">
        <v>45730.0</v>
      </c>
      <c r="D24" s="18" t="s">
        <v>25</v>
      </c>
      <c r="E24" s="2"/>
      <c r="F24" s="2"/>
      <c r="G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4" t="s">
        <v>38</v>
      </c>
      <c r="B25" s="5">
        <v>160.2</v>
      </c>
      <c r="C25" s="25">
        <v>45730.0</v>
      </c>
      <c r="D25" s="18" t="s">
        <v>25</v>
      </c>
      <c r="E25" s="2"/>
      <c r="F25" s="2"/>
      <c r="G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4" t="s">
        <v>39</v>
      </c>
      <c r="B26" s="5">
        <v>299.16</v>
      </c>
      <c r="C26" s="25">
        <v>45731.0</v>
      </c>
      <c r="D26" s="18" t="s">
        <v>25</v>
      </c>
      <c r="E26" s="2"/>
      <c r="F26" s="2"/>
      <c r="G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4" t="s">
        <v>40</v>
      </c>
      <c r="B27" s="5">
        <v>197.1</v>
      </c>
      <c r="C27" s="25">
        <v>45732.0</v>
      </c>
      <c r="D27" s="18" t="s">
        <v>25</v>
      </c>
      <c r="E27" s="2"/>
      <c r="F27" s="2"/>
      <c r="G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4" t="s">
        <v>41</v>
      </c>
      <c r="B28" s="5">
        <v>60.0</v>
      </c>
      <c r="C28" s="25">
        <v>45733.0</v>
      </c>
      <c r="D28" s="18" t="s">
        <v>25</v>
      </c>
      <c r="E28" s="2"/>
      <c r="F28" s="2"/>
      <c r="G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4" t="s">
        <v>42</v>
      </c>
      <c r="B29" s="5">
        <v>36.39</v>
      </c>
      <c r="C29" s="25">
        <v>45735.0</v>
      </c>
      <c r="D29" s="18" t="s">
        <v>25</v>
      </c>
      <c r="E29" s="2"/>
      <c r="F29" s="2"/>
      <c r="G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4" t="s">
        <v>43</v>
      </c>
      <c r="B30" s="5">
        <v>95.61</v>
      </c>
      <c r="C30" s="25">
        <v>45736.0</v>
      </c>
      <c r="D30" s="18" t="s">
        <v>25</v>
      </c>
      <c r="E30" s="2"/>
      <c r="F30" s="2"/>
      <c r="G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4" t="s">
        <v>44</v>
      </c>
      <c r="B31" s="5">
        <v>157.58</v>
      </c>
      <c r="C31" s="25">
        <v>45738.0</v>
      </c>
      <c r="D31" s="18" t="s">
        <v>25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4" t="s">
        <v>45</v>
      </c>
      <c r="B32" s="5">
        <v>282.4</v>
      </c>
      <c r="C32" s="25">
        <v>45738.0</v>
      </c>
      <c r="D32" s="18" t="s">
        <v>25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4" t="s">
        <v>44</v>
      </c>
      <c r="B33" s="5">
        <v>211.48</v>
      </c>
      <c r="C33" s="25">
        <v>45740.0</v>
      </c>
      <c r="D33" s="18" t="s">
        <v>25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4" t="s">
        <v>46</v>
      </c>
      <c r="B34" s="5">
        <v>314.75</v>
      </c>
      <c r="C34" s="25">
        <v>45741.0</v>
      </c>
      <c r="D34" s="18" t="s">
        <v>25</v>
      </c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4" t="s">
        <v>47</v>
      </c>
      <c r="B35" s="5">
        <v>113.11</v>
      </c>
      <c r="C35" s="25">
        <v>45742.0</v>
      </c>
      <c r="D35" s="18" t="s">
        <v>25</v>
      </c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4" t="s">
        <v>48</v>
      </c>
      <c r="B36" s="5">
        <v>35.41</v>
      </c>
      <c r="C36" s="25">
        <v>45744.0</v>
      </c>
      <c r="D36" s="18" t="s">
        <v>25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4" t="s">
        <v>44</v>
      </c>
      <c r="B37" s="5">
        <v>117.05</v>
      </c>
      <c r="C37" s="29">
        <v>45744.0</v>
      </c>
      <c r="D37" s="18" t="s">
        <v>25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4" t="s">
        <v>49</v>
      </c>
      <c r="B38" s="5">
        <v>254.96</v>
      </c>
      <c r="C38" s="29">
        <v>45744.0</v>
      </c>
      <c r="D38" s="18" t="s">
        <v>25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4" t="s">
        <v>50</v>
      </c>
      <c r="B39" s="5">
        <v>66.4</v>
      </c>
      <c r="C39" s="29">
        <v>45745.0</v>
      </c>
      <c r="D39" s="18" t="s">
        <v>25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4" t="s">
        <v>51</v>
      </c>
      <c r="B40" s="5">
        <v>70.82</v>
      </c>
      <c r="C40" s="29">
        <v>45745.0</v>
      </c>
      <c r="D40" s="18" t="s">
        <v>25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4" t="s">
        <v>44</v>
      </c>
      <c r="B41" s="5">
        <v>117.05</v>
      </c>
      <c r="C41" s="29">
        <v>45745.0</v>
      </c>
      <c r="D41" s="18" t="s">
        <v>25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4" t="s">
        <v>52</v>
      </c>
      <c r="B42" s="5">
        <v>88.0</v>
      </c>
      <c r="C42" s="29">
        <v>45745.0</v>
      </c>
      <c r="D42" s="18" t="s">
        <v>25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4" t="s">
        <v>53</v>
      </c>
      <c r="B46" s="5">
        <v>300.0</v>
      </c>
      <c r="C46" s="29">
        <v>45745.0</v>
      </c>
      <c r="D46" s="18" t="s">
        <v>25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4" t="s">
        <v>54</v>
      </c>
      <c r="B47" s="5">
        <v>320.0</v>
      </c>
      <c r="C47" s="25">
        <v>45740.0</v>
      </c>
      <c r="D47" s="18" t="s">
        <v>25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11" t="s">
        <v>14</v>
      </c>
      <c r="B49" s="12">
        <f>SUM(B14:B42) -B47-B46</f>
        <v>8012.35</v>
      </c>
      <c r="C49" s="13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1" t="s">
        <v>55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4" t="s">
        <v>56</v>
      </c>
      <c r="B52" s="8">
        <f>SUM(B49+E8+I3)</f>
        <v>15581.52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4" t="s">
        <v>57</v>
      </c>
      <c r="B53" s="8">
        <f>SUM(I3+2310)</f>
        <v>5310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0" t="s">
        <v>58</v>
      </c>
      <c r="B54" s="5">
        <v>150.0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4" t="s">
        <v>59</v>
      </c>
      <c r="B55" s="8">
        <f>(B2-E8-B49-I3)</f>
        <v>2815.48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5">
    <mergeCell ref="I14:K14"/>
    <mergeCell ref="I15:K15"/>
    <mergeCell ref="I16:K16"/>
    <mergeCell ref="I17:K17"/>
    <mergeCell ref="I18:K18"/>
    <mergeCell ref="I19:K19"/>
    <mergeCell ref="I20:K20"/>
    <mergeCell ref="A51:B51"/>
    <mergeCell ref="A1:B1"/>
    <mergeCell ref="D1:F1"/>
    <mergeCell ref="H1:J1"/>
    <mergeCell ref="A12:D12"/>
    <mergeCell ref="F12:G12"/>
    <mergeCell ref="I12:K12"/>
    <mergeCell ref="I13:K13"/>
  </mergeCells>
  <dataValidations>
    <dataValidation type="list" allowBlank="1" showErrorMessage="1" sqref="D14:D42 D46:D47">
      <formula1>"Pendiente,Pagado"</formula1>
    </dataValidation>
  </dataValidations>
  <drawing r:id="rId1"/>
</worksheet>
</file>