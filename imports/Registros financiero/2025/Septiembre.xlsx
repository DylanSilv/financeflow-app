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<sst xmlns="http://schemas.openxmlformats.org/spreadsheetml/2006/main" count="101" uniqueCount="57">
  <si>
    <t xml:space="preserve">Datos Generales </t>
  </si>
  <si>
    <t xml:space="preserve">Gastos Fijos </t>
  </si>
  <si>
    <t>Ahorro</t>
  </si>
  <si>
    <t>Cobro</t>
  </si>
  <si>
    <t>Categorias</t>
  </si>
  <si>
    <t>Monto</t>
  </si>
  <si>
    <t>Fecha de pago</t>
  </si>
  <si>
    <t>Objetivo</t>
  </si>
  <si>
    <t>Fecha de ingreso</t>
  </si>
  <si>
    <t>Mes anterior (itau)</t>
  </si>
  <si>
    <t>Celular</t>
  </si>
  <si>
    <t>DD/MM/AAAA</t>
  </si>
  <si>
    <t>Guardado</t>
  </si>
  <si>
    <t>Mes anterior (Santander)</t>
  </si>
  <si>
    <t>Total</t>
  </si>
  <si>
    <t>Beneficio</t>
  </si>
  <si>
    <t>Compras</t>
  </si>
  <si>
    <t>Compras con Santander</t>
  </si>
  <si>
    <t>Cosas</t>
  </si>
  <si>
    <t>Costo</t>
  </si>
  <si>
    <t xml:space="preserve">Fecha de pago </t>
  </si>
  <si>
    <t>Estado</t>
  </si>
  <si>
    <t>NOTAS</t>
  </si>
  <si>
    <t>celulares claro</t>
  </si>
  <si>
    <t>Pagado</t>
  </si>
  <si>
    <t>pastafrola (ingreidentes)</t>
  </si>
  <si>
    <t>Pago de los championes 1/2</t>
  </si>
  <si>
    <t>championes (papa)</t>
  </si>
  <si>
    <t>00/09/2025</t>
  </si>
  <si>
    <t xml:space="preserve">colet </t>
  </si>
  <si>
    <t>transferencia mili</t>
  </si>
  <si>
    <t xml:space="preserve">galletitas </t>
  </si>
  <si>
    <t>pan</t>
  </si>
  <si>
    <t>Championes (dylan)</t>
  </si>
  <si>
    <t>championes (axel)</t>
  </si>
  <si>
    <t>comision de transferencia</t>
  </si>
  <si>
    <t xml:space="preserve">harina </t>
  </si>
  <si>
    <t xml:space="preserve">Pringles </t>
  </si>
  <si>
    <t>lactolate y dulce</t>
  </si>
  <si>
    <t>novemina</t>
  </si>
  <si>
    <t>beldent</t>
  </si>
  <si>
    <t xml:space="preserve">descuento santander </t>
  </si>
  <si>
    <t>descuento santander</t>
  </si>
  <si>
    <t>coca nix</t>
  </si>
  <si>
    <t xml:space="preserve">pan galletitas y leche </t>
  </si>
  <si>
    <t>transferencia mamá (claro)</t>
  </si>
  <si>
    <t xml:space="preserve">box cama </t>
  </si>
  <si>
    <t>mili</t>
  </si>
  <si>
    <t>Resumen</t>
  </si>
  <si>
    <t xml:space="preserve">Total gastos </t>
  </si>
  <si>
    <t>bizcochos</t>
  </si>
  <si>
    <t>Total ahorros</t>
  </si>
  <si>
    <t xml:space="preserve">hamburguesas </t>
  </si>
  <si>
    <t>comida</t>
  </si>
  <si>
    <t xml:space="preserve">Disponible </t>
  </si>
  <si>
    <t xml:space="preserve">Santander </t>
  </si>
  <si>
    <t xml:space="preserve">Itau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</si>
</sst>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dd/mm/yyyy"/>
  </numFmts>
  <fonts count="6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readingOrder="0" vertical="bottom"/>
    </xf>
    <xf borderId="0" fillId="4" fontId="2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3" fontId="2" numFmtId="164" xfId="0" applyAlignment="1" applyFont="1" applyNumberFormat="1">
      <alignment horizontal="right" vertical="bottom"/>
    </xf>
    <xf borderId="0" fillId="3" fontId="2" numFmtId="0" xfId="0" applyAlignment="1" applyFont="1">
      <alignment vertical="bottom"/>
    </xf>
    <xf borderId="0" fillId="4" fontId="2" numFmtId="0" xfId="0" applyAlignment="1" applyFont="1">
      <alignment readingOrder="0" vertical="bottom"/>
    </xf>
    <xf borderId="0" fillId="4" fontId="3" numFmtId="0" xfId="0" applyAlignment="1" applyFont="1">
      <alignment readingOrder="0" vertical="bottom"/>
    </xf>
    <xf borderId="0" fillId="5" fontId="1" numFmtId="0" xfId="0" applyAlignment="1" applyFill="1" applyFont="1">
      <alignment horizontal="center" vertical="bottom"/>
    </xf>
    <xf borderId="1" fillId="3" fontId="1" numFmtId="0" xfId="0" applyAlignment="1" applyBorder="1" applyFont="1">
      <alignment horizontal="center" vertical="bottom"/>
    </xf>
    <xf borderId="2" fillId="0" fontId="5" numFmtId="0" xfId="0" applyBorder="1" applyFont="1"/>
    <xf borderId="3" fillId="0" fontId="5" numFmtId="0" xfId="0" applyBorder="1" applyFont="1"/>
    <xf borderId="0" fillId="0" fontId="2" numFmtId="0" xfId="0" applyAlignment="1" applyFont="1">
      <alignment readingOrder="0" vertical="bottom"/>
    </xf>
    <xf borderId="0" fillId="0" fontId="2" numFmtId="165" xfId="0" applyAlignment="1" applyFont="1" applyNumberFormat="1">
      <alignment horizontal="right" readingOrder="0" vertical="bottom"/>
    </xf>
    <xf borderId="4" fillId="0" fontId="2" numFmtId="0" xfId="0" applyAlignment="1" applyBorder="1" applyFont="1">
      <alignment readingOrder="0" vertical="bottom"/>
    </xf>
    <xf borderId="5" fillId="0" fontId="5" numFmtId="0" xfId="0" applyBorder="1" applyFont="1"/>
    <xf borderId="0" fillId="0" fontId="2" numFmtId="0" xfId="0" applyAlignment="1" applyFont="1">
      <alignment horizontal="right" readingOrder="0" vertical="bottom"/>
    </xf>
    <xf borderId="4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7" fillId="0" fontId="5" numFmtId="0" xfId="0" applyBorder="1" applyFont="1"/>
    <xf borderId="8" fillId="0" fontId="5" numFmtId="0" xfId="0" applyBorder="1" applyFont="1"/>
    <xf borderId="0" fillId="5" fontId="3" numFmtId="0" xfId="0" applyAlignment="1" applyFont="1">
      <alignment vertical="bottom"/>
    </xf>
    <xf borderId="0" fillId="5" fontId="2" numFmtId="164" xfId="0" applyAlignment="1" applyFont="1" applyNumberFormat="1">
      <alignment horizontal="right" vertical="bottom"/>
    </xf>
    <xf borderId="0" fillId="5" fontId="2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6" fontId="2" numFmtId="0" xfId="0" applyAlignment="1" applyFill="1" applyFont="1">
      <alignment readingOrder="0" vertical="bottom"/>
    </xf>
    <xf borderId="0" fillId="0" fontId="2" numFmtId="164" xfId="0" applyAlignment="1" applyFont="1" applyNumberFormat="1">
      <alignment vertical="bottom"/>
    </xf>
    <xf borderId="0" fillId="0" fontId="2" numFmtId="0" xfId="0" applyFont="1"/>
    <xf borderId="0" fillId="7" fontId="2" numFmtId="0" xfId="0" applyAlignment="1" applyFill="1" applyFont="1">
      <alignment readingOrder="0" vertical="bottom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1" t="s">
        <v>0</v>
      </c>
      <c r="C1" s="2"/>
      <c r="D1" s="3" t="s">
        <v>1</v>
      </c>
      <c r="G1" s="2"/>
      <c r="H1" s="1" t="s">
        <v>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3</v>
      </c>
      <c r="B2" s="5">
        <v>7744.0</v>
      </c>
      <c r="C2" s="2"/>
      <c r="D2" s="4" t="s">
        <v>4</v>
      </c>
      <c r="E2" s="4" t="s">
        <v>5</v>
      </c>
      <c r="F2" s="4" t="s">
        <v>6</v>
      </c>
      <c r="G2" s="2"/>
      <c r="H2" s="4" t="s">
        <v>7</v>
      </c>
      <c r="I2" s="4" t="s">
        <v>5</v>
      </c>
      <c r="J2" s="4" t="s">
        <v>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9</v>
      </c>
      <c r="B3" s="5">
        <v>903.31</v>
      </c>
      <c r="C3" s="2"/>
      <c r="D3" s="4" t="s">
        <v>10</v>
      </c>
      <c r="E3" s="7">
        <v>0.0</v>
      </c>
      <c r="F3" s="2" t="s">
        <v>11</v>
      </c>
      <c r="G3" s="2"/>
      <c r="H3" s="4" t="s">
        <v>12</v>
      </c>
      <c r="I3" s="7">
        <v>0.0</v>
      </c>
      <c r="J3" s="2" t="s">
        <v>11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13</v>
      </c>
      <c r="B4" s="5">
        <v>20.31</v>
      </c>
      <c r="C4" s="2"/>
      <c r="D4" s="4"/>
      <c r="E4" s="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8</v>
      </c>
      <c r="B5" s="8">
        <v>45901.0</v>
      </c>
      <c r="C5" s="9"/>
      <c r="D5" s="10" t="s">
        <v>14</v>
      </c>
      <c r="E5" s="11">
        <f>SUM(E3)</f>
        <v>0</v>
      </c>
      <c r="F5" s="1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 t="s">
        <v>15</v>
      </c>
      <c r="B6" s="5">
        <v>1300.0</v>
      </c>
      <c r="C6" s="9"/>
      <c r="D6" s="4"/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 t="s">
        <v>8</v>
      </c>
      <c r="B7" s="8">
        <v>45912.0</v>
      </c>
      <c r="C7" s="9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/>
      <c r="B8" s="9"/>
      <c r="C8" s="9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/>
      <c r="B9" s="9"/>
      <c r="C9" s="9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16</v>
      </c>
      <c r="E12" s="2"/>
      <c r="F12" s="15" t="s">
        <v>17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18</v>
      </c>
      <c r="B13" s="4" t="s">
        <v>19</v>
      </c>
      <c r="C13" s="4" t="s">
        <v>20</v>
      </c>
      <c r="D13" s="4" t="s">
        <v>21</v>
      </c>
      <c r="E13" s="2"/>
      <c r="F13" s="4" t="s">
        <v>18</v>
      </c>
      <c r="G13" s="4" t="s">
        <v>19</v>
      </c>
      <c r="H13" s="4" t="s">
        <v>20</v>
      </c>
      <c r="I13" s="4" t="s">
        <v>21</v>
      </c>
      <c r="K13" s="16" t="s">
        <v>22</v>
      </c>
      <c r="L13" s="17"/>
      <c r="M13" s="1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9" t="s">
        <v>23</v>
      </c>
      <c r="B14" s="5">
        <v>1722.7</v>
      </c>
      <c r="C14" s="20">
        <v>45904.0</v>
      </c>
      <c r="D14" s="19" t="s">
        <v>24</v>
      </c>
      <c r="E14" s="2"/>
      <c r="F14" s="19" t="s">
        <v>25</v>
      </c>
      <c r="G14" s="5">
        <v>461.24</v>
      </c>
      <c r="H14" s="20">
        <v>45901.0</v>
      </c>
      <c r="I14" s="19" t="s">
        <v>24</v>
      </c>
      <c r="K14" s="21" t="s">
        <v>26</v>
      </c>
      <c r="M14" s="2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9" t="s">
        <v>27</v>
      </c>
      <c r="B15" s="5">
        <v>379.52</v>
      </c>
      <c r="C15" s="23" t="s">
        <v>28</v>
      </c>
      <c r="D15" s="19" t="s">
        <v>24</v>
      </c>
      <c r="E15" s="2"/>
      <c r="F15" s="19" t="s">
        <v>29</v>
      </c>
      <c r="G15" s="5">
        <v>88.52</v>
      </c>
      <c r="H15" s="20">
        <v>45902.0</v>
      </c>
      <c r="I15" s="19" t="s">
        <v>24</v>
      </c>
      <c r="K15" s="24"/>
      <c r="M15" s="2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9" t="s">
        <v>30</v>
      </c>
      <c r="B16" s="5">
        <v>250.01</v>
      </c>
      <c r="C16" s="23" t="s">
        <v>28</v>
      </c>
      <c r="D16" s="2"/>
      <c r="E16" s="2"/>
      <c r="F16" s="19" t="s">
        <v>31</v>
      </c>
      <c r="G16" s="5">
        <v>61.97</v>
      </c>
      <c r="H16" s="20">
        <v>45905.0</v>
      </c>
      <c r="I16" s="19" t="s">
        <v>24</v>
      </c>
      <c r="K16" s="21"/>
      <c r="M16" s="2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5">
        <v>0.0</v>
      </c>
      <c r="C17" s="23" t="s">
        <v>28</v>
      </c>
      <c r="D17" s="2"/>
      <c r="E17" s="2"/>
      <c r="F17" s="19" t="s">
        <v>32</v>
      </c>
      <c r="G17" s="5">
        <v>156.11</v>
      </c>
      <c r="H17" s="20">
        <v>45906.0</v>
      </c>
      <c r="I17" s="19" t="s">
        <v>24</v>
      </c>
      <c r="K17" s="24"/>
      <c r="M17" s="2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5">
        <v>0.0</v>
      </c>
      <c r="C18" s="23" t="s">
        <v>28</v>
      </c>
      <c r="D18" s="2"/>
      <c r="E18" s="2"/>
      <c r="F18" s="19" t="s">
        <v>33</v>
      </c>
      <c r="G18" s="5">
        <v>1095.0</v>
      </c>
      <c r="H18" s="20">
        <v>45906.0</v>
      </c>
      <c r="I18" s="19" t="s">
        <v>24</v>
      </c>
      <c r="K18" s="24"/>
      <c r="M18" s="2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5">
        <v>0.0</v>
      </c>
      <c r="C19" s="23" t="s">
        <v>28</v>
      </c>
      <c r="D19" s="2"/>
      <c r="E19" s="2"/>
      <c r="F19" s="19" t="s">
        <v>34</v>
      </c>
      <c r="G19" s="5">
        <v>598.33</v>
      </c>
      <c r="H19" s="20">
        <v>45906.0</v>
      </c>
      <c r="I19" s="19" t="s">
        <v>24</v>
      </c>
      <c r="K19" s="24"/>
      <c r="M19" s="2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5">
        <v>0.0</v>
      </c>
      <c r="C20" s="23" t="s">
        <v>28</v>
      </c>
      <c r="D20" s="2"/>
      <c r="E20" s="2"/>
      <c r="F20" s="19" t="s">
        <v>35</v>
      </c>
      <c r="G20" s="5">
        <v>77.24</v>
      </c>
      <c r="H20" s="20">
        <v>45906.0</v>
      </c>
      <c r="I20" s="19" t="s">
        <v>24</v>
      </c>
      <c r="K20" s="24"/>
      <c r="M20" s="2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5">
        <v>0.0</v>
      </c>
      <c r="C21" s="23" t="s">
        <v>28</v>
      </c>
      <c r="D21" s="2"/>
      <c r="E21" s="2"/>
      <c r="F21" s="19" t="s">
        <v>36</v>
      </c>
      <c r="G21" s="5">
        <v>60.87</v>
      </c>
      <c r="H21" s="20">
        <v>45906.0</v>
      </c>
      <c r="I21" s="19" t="s">
        <v>24</v>
      </c>
      <c r="K21" s="25"/>
      <c r="L21" s="26"/>
      <c r="M21" s="2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5">
        <v>0.0</v>
      </c>
      <c r="C22" s="23" t="s">
        <v>28</v>
      </c>
      <c r="D22" s="2"/>
      <c r="E22" s="2"/>
      <c r="F22" s="19" t="s">
        <v>37</v>
      </c>
      <c r="G22" s="5">
        <v>97.38</v>
      </c>
      <c r="H22" s="20">
        <v>45911.0</v>
      </c>
      <c r="I22" s="19" t="s">
        <v>24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5">
        <v>0.0</v>
      </c>
      <c r="C23" s="23" t="s">
        <v>28</v>
      </c>
      <c r="D23" s="2"/>
      <c r="E23" s="2"/>
      <c r="F23" s="19" t="s">
        <v>38</v>
      </c>
      <c r="G23" s="5">
        <v>142.43</v>
      </c>
      <c r="H23" s="20">
        <v>45913.0</v>
      </c>
      <c r="I23" s="19" t="s">
        <v>24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5">
        <v>0.0</v>
      </c>
      <c r="C24" s="23" t="s">
        <v>28</v>
      </c>
      <c r="D24" s="2"/>
      <c r="E24" s="2"/>
      <c r="F24" s="19" t="s">
        <v>39</v>
      </c>
      <c r="G24" s="5">
        <v>115.85</v>
      </c>
      <c r="H24" s="20">
        <v>45913.0</v>
      </c>
      <c r="I24" s="19" t="s">
        <v>24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5">
        <v>0.0</v>
      </c>
      <c r="C25" s="23" t="s">
        <v>28</v>
      </c>
      <c r="D25" s="2"/>
      <c r="E25" s="2"/>
      <c r="F25" s="19" t="s">
        <v>40</v>
      </c>
      <c r="G25" s="5">
        <v>31.48</v>
      </c>
      <c r="H25" s="20">
        <v>45915.0</v>
      </c>
      <c r="I25" s="19" t="s">
        <v>24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C26" s="2"/>
      <c r="D26" s="2"/>
      <c r="E26" s="2"/>
      <c r="F26" s="19" t="s">
        <v>41</v>
      </c>
      <c r="G26" s="5">
        <v>180.0</v>
      </c>
      <c r="H26" s="20">
        <v>45918.0</v>
      </c>
      <c r="I26" s="19" t="s">
        <v>24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" t="s">
        <v>14</v>
      </c>
      <c r="B27" s="11">
        <f>SUM(B14:B18)</f>
        <v>2352.23</v>
      </c>
      <c r="C27" s="12"/>
      <c r="D27" s="2"/>
      <c r="E27" s="2"/>
      <c r="F27" s="6" t="s">
        <v>42</v>
      </c>
      <c r="G27" s="5">
        <v>342.01</v>
      </c>
      <c r="H27" s="20">
        <v>45918.0</v>
      </c>
      <c r="I27" s="19" t="s">
        <v>24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6" t="s">
        <v>43</v>
      </c>
      <c r="G28" s="5">
        <v>73.77</v>
      </c>
      <c r="H28" s="20">
        <v>45918.0</v>
      </c>
      <c r="I28" s="19" t="s">
        <v>24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6" t="s">
        <v>44</v>
      </c>
      <c r="G29" s="5">
        <v>294.56</v>
      </c>
      <c r="H29" s="20">
        <v>45920.0</v>
      </c>
      <c r="I29" s="19" t="s">
        <v>24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19" t="s">
        <v>45</v>
      </c>
      <c r="E30" s="5">
        <v>1473.0</v>
      </c>
      <c r="F30" s="6" t="s">
        <v>46</v>
      </c>
      <c r="G30" s="5">
        <v>2654.75</v>
      </c>
      <c r="H30" s="20">
        <v>45922.0</v>
      </c>
      <c r="I30" s="19" t="s">
        <v>24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6" t="s">
        <v>47</v>
      </c>
      <c r="G31" s="5">
        <v>403.0</v>
      </c>
      <c r="H31" s="20">
        <v>45924.0</v>
      </c>
      <c r="I31" s="19" t="s">
        <v>24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48</v>
      </c>
      <c r="C32" s="2"/>
      <c r="D32" s="2"/>
      <c r="E32" s="2"/>
      <c r="F32" s="19" t="s">
        <v>43</v>
      </c>
      <c r="G32" s="5">
        <v>130.0</v>
      </c>
      <c r="H32" s="20">
        <v>45925.0</v>
      </c>
      <c r="I32" s="19" t="s">
        <v>24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 t="s">
        <v>49</v>
      </c>
      <c r="B33" s="7">
        <f>SUM(B27+G37)</f>
        <v>10028.27</v>
      </c>
      <c r="C33" s="2"/>
      <c r="D33" s="2"/>
      <c r="E33" s="2"/>
      <c r="F33" s="19" t="s">
        <v>50</v>
      </c>
      <c r="G33" s="5">
        <v>98.36</v>
      </c>
      <c r="H33" s="20">
        <v>45926.0</v>
      </c>
      <c r="I33" s="19" t="s">
        <v>24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 t="s">
        <v>51</v>
      </c>
      <c r="B34" s="7">
        <v>0.0</v>
      </c>
      <c r="C34" s="2"/>
      <c r="D34" s="2"/>
      <c r="E34" s="2"/>
      <c r="F34" s="19" t="s">
        <v>52</v>
      </c>
      <c r="G34" s="5">
        <v>293.17</v>
      </c>
      <c r="H34" s="20">
        <v>45927.0</v>
      </c>
      <c r="I34" s="19" t="s">
        <v>24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6" t="s">
        <v>53</v>
      </c>
      <c r="G35" s="5">
        <v>220.0</v>
      </c>
      <c r="H35" s="20">
        <v>45930.0</v>
      </c>
      <c r="I35" s="19" t="s">
        <v>24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 t="s">
        <v>54</v>
      </c>
      <c r="B36" s="7">
        <f>(B2+B3+B4+B6-E5-B27-B34-G37)</f>
        <v>-60.65</v>
      </c>
      <c r="C36" s="2"/>
      <c r="D36" s="2"/>
      <c r="E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8" t="s">
        <v>14</v>
      </c>
      <c r="G37" s="29">
        <f>SUM(G14:G35)</f>
        <v>7676.04</v>
      </c>
      <c r="H37" s="30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J38" s="2"/>
      <c r="K38" s="3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J39" s="2"/>
      <c r="K39" s="3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G40" s="33" t="s">
        <v>55</v>
      </c>
      <c r="H40" s="34">
        <f>SUM(B2+B4-G37+B6)</f>
        <v>1388.27</v>
      </c>
      <c r="I40" s="2"/>
      <c r="J40" s="2"/>
      <c r="K40" s="35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G41" s="36" t="s">
        <v>56</v>
      </c>
      <c r="H41" s="37">
        <f>SUM(B3-B27+E30)</f>
        <v>24.08</v>
      </c>
      <c r="I41" s="2"/>
      <c r="J41" s="2"/>
      <c r="K41" s="35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19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19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19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19"/>
      <c r="J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19"/>
      <c r="J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K15:M15"/>
    <mergeCell ref="K16:M16"/>
    <mergeCell ref="K17:M17"/>
    <mergeCell ref="K18:M18"/>
    <mergeCell ref="K19:M19"/>
    <mergeCell ref="K20:M20"/>
    <mergeCell ref="K21:M21"/>
    <mergeCell ref="A32:B32"/>
    <mergeCell ref="A1:B1"/>
    <mergeCell ref="D1:F1"/>
    <mergeCell ref="H1:J1"/>
    <mergeCell ref="A12:D12"/>
    <mergeCell ref="F12:I12"/>
    <mergeCell ref="K13:M13"/>
    <mergeCell ref="K14:M14"/>
  </mergeCells>
  <dataValidations>
    <dataValidation type="list" allowBlank="1" showErrorMessage="1" sqref="D14:D25 I14:I35">
      <formula1>"Pendiente,Pagado"</formula1>
    </dataValidation>
  </dataValidations>
  <drawing r:id="rId1"/>
</worksheet>
</file>