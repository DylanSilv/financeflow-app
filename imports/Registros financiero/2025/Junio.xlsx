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<sst xmlns="http://schemas.openxmlformats.org/spreadsheetml/2006/main" count="121" uniqueCount="66">
  <si>
    <t xml:space="preserve">Datos Generales </t>
  </si>
  <si>
    <t xml:space="preserve">Gastos Fijos </t>
  </si>
  <si>
    <t>Ahorro</t>
  </si>
  <si>
    <t>NOTAS</t>
  </si>
  <si>
    <t>Cobro</t>
  </si>
  <si>
    <t>Categorias</t>
  </si>
  <si>
    <t>Monto</t>
  </si>
  <si>
    <t>Fecha de pago</t>
  </si>
  <si>
    <t>Objetivo</t>
  </si>
  <si>
    <t>Fecha de ingreso</t>
  </si>
  <si>
    <t>5/6 cuota del monopatin</t>
  </si>
  <si>
    <t>Mes pasado</t>
  </si>
  <si>
    <t>Celular</t>
  </si>
  <si>
    <t>DD/MM/AAAA</t>
  </si>
  <si>
    <t>Guardado</t>
  </si>
  <si>
    <t>Beneficio antel</t>
  </si>
  <si>
    <t>Monopatin</t>
  </si>
  <si>
    <t xml:space="preserve">lo de "pago al Kevin (dev)" esta guardado </t>
  </si>
  <si>
    <t xml:space="preserve">Aguinaldo </t>
  </si>
  <si>
    <t>Gimnasio</t>
  </si>
  <si>
    <t xml:space="preserve">Este mes me entraron 5200 del beneficio de antel </t>
  </si>
  <si>
    <t>Fecha de ingreso (Ben. antel)</t>
  </si>
  <si>
    <t>Total</t>
  </si>
  <si>
    <t>Fecha de ingreso (Aguinaldo)</t>
  </si>
  <si>
    <t xml:space="preserve">Compras con tarjeta </t>
  </si>
  <si>
    <t xml:space="preserve">Compras con beneficio antel </t>
  </si>
  <si>
    <t>Compras con efectivo</t>
  </si>
  <si>
    <t>Compras con aguinaldo</t>
  </si>
  <si>
    <t>Cosas</t>
  </si>
  <si>
    <t>Costo</t>
  </si>
  <si>
    <t xml:space="preserve">Fecha de pago </t>
  </si>
  <si>
    <t>Estado</t>
  </si>
  <si>
    <t>Plancha mama (dev)</t>
  </si>
  <si>
    <t>Pagado</t>
  </si>
  <si>
    <t>pan, alfajor y yogur</t>
  </si>
  <si>
    <t>des. pie y bucal</t>
  </si>
  <si>
    <t>grapamiel</t>
  </si>
  <si>
    <t>Grapamiel</t>
  </si>
  <si>
    <t xml:space="preserve">alfajores, harina y muzzarella </t>
  </si>
  <si>
    <t>pago al Kevin (dev)</t>
  </si>
  <si>
    <t>huevos y morron</t>
  </si>
  <si>
    <t>pago de claro (dev)</t>
  </si>
  <si>
    <t xml:space="preserve">teléfono mamá </t>
  </si>
  <si>
    <t>beldent</t>
  </si>
  <si>
    <t>pan</t>
  </si>
  <si>
    <t>Asado premium 3.3Kg</t>
  </si>
  <si>
    <t>Chorizo rausa 1Kg</t>
  </si>
  <si>
    <t>Palitos de chocolate 4P</t>
  </si>
  <si>
    <t>Pure de papas 3P</t>
  </si>
  <si>
    <t>2 Cocas 3lt</t>
  </si>
  <si>
    <t>Fiambre 400kg</t>
  </si>
  <si>
    <t>Doritos</t>
  </si>
  <si>
    <t>Papas lays</t>
  </si>
  <si>
    <t>Pastillas menta x2</t>
  </si>
  <si>
    <t>Resumen</t>
  </si>
  <si>
    <t>pak 6 cocas chicas</t>
  </si>
  <si>
    <t xml:space="preserve">Total gastos </t>
  </si>
  <si>
    <t>Torta cumple</t>
  </si>
  <si>
    <t>Total ahorros</t>
  </si>
  <si>
    <t>Fulbo</t>
  </si>
  <si>
    <t>Total ingresos</t>
  </si>
  <si>
    <t>picada salsa y leches</t>
  </si>
  <si>
    <t xml:space="preserve">Disponible </t>
  </si>
  <si>
    <t xml:space="preserve">cargador de mamá </t>
  </si>
  <si>
    <t xml:space="preserve">galletitas surtidas </t>
  </si>
  <si>
    <t xml:space="preserve">Tarjeta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</si>
</sst>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/m/yyyy"/>
  </numFmts>
  <fonts count="7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/>
    <font>
      <b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1" fillId="3" fontId="1" numFmtId="0" xfId="0" applyAlignment="1" applyBorder="1" applyFont="1">
      <alignment horizontal="center" vertical="bottom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4" fillId="0" fontId="2" numFmtId="0" xfId="0" applyAlignment="1" applyBorder="1" applyFont="1">
      <alignment readingOrder="0" vertical="bottom"/>
    </xf>
    <xf borderId="5" fillId="0" fontId="3" numFmtId="0" xfId="0" applyBorder="1" applyFont="1"/>
    <xf borderId="0" fillId="0" fontId="5" numFmtId="0" xfId="0" applyAlignment="1" applyFont="1">
      <alignment readingOrder="0"/>
    </xf>
    <xf borderId="0" fillId="0" fontId="2" numFmtId="165" xfId="0" applyAlignment="1" applyFont="1" applyNumberFormat="1">
      <alignment readingOrder="0" vertical="bottom"/>
    </xf>
    <xf borderId="4" fillId="0" fontId="2" numFmtId="0" xfId="0" applyAlignment="1" applyBorder="1" applyFont="1">
      <alignment vertical="bottom"/>
    </xf>
    <xf borderId="0" fillId="4" fontId="2" numFmtId="0" xfId="0" applyAlignment="1" applyFill="1" applyFont="1">
      <alignment vertical="bottom"/>
    </xf>
    <xf borderId="0" fillId="4" fontId="4" numFmtId="0" xfId="0" applyAlignment="1" applyFont="1">
      <alignment readingOrder="0" vertical="bottom"/>
    </xf>
    <xf borderId="0" fillId="4" fontId="2" numFmtId="165" xfId="0" applyAlignment="1" applyFont="1" applyNumberFormat="1">
      <alignment readingOrder="0" vertical="bottom"/>
    </xf>
    <xf borderId="0" fillId="3" fontId="4" numFmtId="0" xfId="0" applyAlignment="1" applyFont="1">
      <alignment vertical="bottom"/>
    </xf>
    <xf borderId="0" fillId="3" fontId="2" numFmtId="164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6" fillId="0" fontId="2" numFmtId="0" xfId="0" applyAlignment="1" applyBorder="1" applyFont="1">
      <alignment vertical="bottom"/>
    </xf>
    <xf borderId="7" fillId="0" fontId="3" numFmtId="0" xfId="0" applyBorder="1" applyFont="1"/>
    <xf borderId="8" fillId="0" fontId="3" numFmtId="0" xfId="0" applyBorder="1" applyFont="1"/>
    <xf borderId="0" fillId="3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0" fillId="0" fontId="6" numFmtId="0" xfId="0" applyAlignment="1" applyFont="1">
      <alignment readingOrder="0"/>
    </xf>
    <xf borderId="0" fillId="0" fontId="2" numFmtId="164" xfId="0" applyAlignment="1" applyFont="1" applyNumberFormat="1">
      <alignment horizontal="right" vertical="bottom"/>
    </xf>
    <xf borderId="0" fillId="0" fontId="4" numFmtId="0" xfId="0" applyAlignment="1" applyFont="1">
      <alignment readingOrder="0" vertical="bottom"/>
    </xf>
    <xf borderId="9" fillId="3" fontId="2" numFmtId="0" xfId="0" applyAlignment="1" applyBorder="1" applyFont="1">
      <alignment readingOrder="0" vertical="bottom"/>
    </xf>
    <xf borderId="9" fillId="0" fontId="2" numFmtId="164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6" max="6" width="17.88"/>
    <col customWidth="1" min="10" max="10" width="16.38"/>
  </cols>
  <sheetData>
    <row r="1">
      <c r="A1" s="1" t="s">
        <v>0</v>
      </c>
      <c r="C1" s="2"/>
      <c r="D1" s="3" t="s">
        <v>1</v>
      </c>
      <c r="G1" s="2"/>
      <c r="H1" s="1" t="s">
        <v>2</v>
      </c>
      <c r="K1" s="2"/>
      <c r="L1" s="4" t="s">
        <v>3</v>
      </c>
      <c r="M1" s="5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" t="s">
        <v>4</v>
      </c>
      <c r="B2" s="8">
        <v>9213.0</v>
      </c>
      <c r="C2" s="2"/>
      <c r="D2" s="7" t="s">
        <v>5</v>
      </c>
      <c r="E2" s="7" t="s">
        <v>6</v>
      </c>
      <c r="F2" s="7" t="s">
        <v>7</v>
      </c>
      <c r="G2" s="2"/>
      <c r="H2" s="7" t="s">
        <v>8</v>
      </c>
      <c r="I2" s="7" t="s">
        <v>6</v>
      </c>
      <c r="J2" s="7" t="s">
        <v>9</v>
      </c>
      <c r="K2" s="2"/>
      <c r="L2" s="9" t="s">
        <v>10</v>
      </c>
      <c r="N2" s="10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1" t="s">
        <v>11</v>
      </c>
      <c r="B3" s="8">
        <v>1016.61</v>
      </c>
      <c r="C3" s="2"/>
      <c r="D3" s="7" t="s">
        <v>12</v>
      </c>
      <c r="E3" s="8">
        <v>500.0</v>
      </c>
      <c r="F3" s="2" t="s">
        <v>13</v>
      </c>
      <c r="G3" s="2"/>
      <c r="H3" s="7" t="s">
        <v>14</v>
      </c>
      <c r="I3" s="8">
        <v>4000.0</v>
      </c>
      <c r="J3" s="12">
        <v>45810.0</v>
      </c>
      <c r="K3" s="2"/>
      <c r="L3" s="13"/>
      <c r="N3" s="10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15</v>
      </c>
      <c r="B4" s="8">
        <v>5200.0</v>
      </c>
      <c r="C4" s="2"/>
      <c r="D4" s="7" t="s">
        <v>16</v>
      </c>
      <c r="E4" s="8">
        <v>1832.0</v>
      </c>
      <c r="F4" s="12">
        <v>45810.0</v>
      </c>
      <c r="G4" s="2"/>
      <c r="H4" s="2"/>
      <c r="I4" s="2"/>
      <c r="J4" s="2"/>
      <c r="K4" s="2"/>
      <c r="L4" s="9" t="s">
        <v>17</v>
      </c>
      <c r="N4" s="10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18</v>
      </c>
      <c r="B5" s="8">
        <v>1742.0</v>
      </c>
      <c r="C5" s="14"/>
      <c r="D5" s="7" t="s">
        <v>19</v>
      </c>
      <c r="E5" s="8">
        <v>1400.0</v>
      </c>
      <c r="F5" s="2" t="s">
        <v>13</v>
      </c>
      <c r="G5" s="2"/>
      <c r="H5" s="2"/>
      <c r="I5" s="2"/>
      <c r="J5" s="2"/>
      <c r="K5" s="2"/>
      <c r="L5" s="13"/>
      <c r="N5" s="10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" t="s">
        <v>9</v>
      </c>
      <c r="B6" s="12">
        <v>45810.0</v>
      </c>
      <c r="C6" s="14"/>
      <c r="D6" s="2"/>
      <c r="E6" s="2"/>
      <c r="F6" s="2"/>
      <c r="G6" s="2"/>
      <c r="H6" s="2"/>
      <c r="I6" s="2"/>
      <c r="J6" s="2"/>
      <c r="K6" s="2"/>
      <c r="L6" s="9" t="s">
        <v>20</v>
      </c>
      <c r="N6" s="10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5" t="s">
        <v>21</v>
      </c>
      <c r="B7" s="16">
        <v>45821.0</v>
      </c>
      <c r="C7" s="14"/>
      <c r="D7" s="17" t="s">
        <v>22</v>
      </c>
      <c r="E7" s="18">
        <f>SUM(E3:E5)</f>
        <v>3732</v>
      </c>
      <c r="F7" s="19"/>
      <c r="G7" s="2"/>
      <c r="H7" s="2"/>
      <c r="I7" s="2"/>
      <c r="J7" s="2"/>
      <c r="K7" s="2"/>
      <c r="L7" s="13"/>
      <c r="N7" s="10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5" t="s">
        <v>23</v>
      </c>
      <c r="B8" s="16">
        <v>45825.0</v>
      </c>
      <c r="C8" s="14"/>
      <c r="G8" s="2"/>
      <c r="H8" s="2"/>
      <c r="I8" s="2"/>
      <c r="J8" s="2"/>
      <c r="K8" s="2"/>
      <c r="L8" s="13"/>
      <c r="N8" s="10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4"/>
      <c r="B9" s="14"/>
      <c r="C9" s="14"/>
      <c r="D9" s="2"/>
      <c r="E9" s="2"/>
      <c r="F9" s="2"/>
      <c r="G9" s="2"/>
      <c r="H9" s="2"/>
      <c r="I9" s="2"/>
      <c r="J9" s="2"/>
      <c r="K9" s="2"/>
      <c r="L9" s="20"/>
      <c r="M9" s="21"/>
      <c r="N9" s="2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3" t="s">
        <v>24</v>
      </c>
      <c r="E12" s="2"/>
      <c r="F12" s="23" t="s">
        <v>25</v>
      </c>
      <c r="J12" s="2"/>
      <c r="K12" s="23" t="s">
        <v>26</v>
      </c>
      <c r="O12" s="2"/>
      <c r="P12" s="23" t="s">
        <v>27</v>
      </c>
      <c r="T12" s="2"/>
      <c r="U12" s="2"/>
      <c r="V12" s="2"/>
      <c r="W12" s="2"/>
      <c r="X12" s="2"/>
      <c r="Y12" s="2"/>
      <c r="Z12" s="2"/>
    </row>
    <row r="13">
      <c r="A13" s="7" t="s">
        <v>28</v>
      </c>
      <c r="B13" s="7" t="s">
        <v>29</v>
      </c>
      <c r="C13" s="7" t="s">
        <v>30</v>
      </c>
      <c r="D13" s="7" t="s">
        <v>31</v>
      </c>
      <c r="E13" s="2"/>
      <c r="F13" s="7" t="s">
        <v>28</v>
      </c>
      <c r="G13" s="7" t="s">
        <v>29</v>
      </c>
      <c r="H13" s="7" t="s">
        <v>30</v>
      </c>
      <c r="I13" s="7" t="s">
        <v>31</v>
      </c>
      <c r="K13" s="7" t="s">
        <v>28</v>
      </c>
      <c r="L13" s="7" t="s">
        <v>29</v>
      </c>
      <c r="M13" s="7" t="s">
        <v>30</v>
      </c>
      <c r="N13" s="7" t="s">
        <v>31</v>
      </c>
      <c r="O13" s="2"/>
      <c r="P13" s="7" t="s">
        <v>28</v>
      </c>
      <c r="Q13" s="7" t="s">
        <v>29</v>
      </c>
      <c r="R13" s="7" t="s">
        <v>30</v>
      </c>
      <c r="S13" s="7" t="s">
        <v>31</v>
      </c>
      <c r="T13" s="2"/>
      <c r="U13" s="2"/>
      <c r="V13" s="2"/>
      <c r="W13" s="2"/>
      <c r="X13" s="2"/>
      <c r="Y13" s="2"/>
      <c r="Z13" s="2"/>
    </row>
    <row r="14">
      <c r="A14" s="24" t="s">
        <v>32</v>
      </c>
      <c r="B14" s="8">
        <v>3500.0</v>
      </c>
      <c r="C14" s="12">
        <v>45810.0</v>
      </c>
      <c r="D14" s="24" t="s">
        <v>33</v>
      </c>
      <c r="E14" s="2"/>
      <c r="F14" s="25" t="s">
        <v>34</v>
      </c>
      <c r="G14" s="8">
        <v>276.13</v>
      </c>
      <c r="H14" s="12">
        <v>45821.0</v>
      </c>
      <c r="I14" s="24" t="s">
        <v>33</v>
      </c>
      <c r="K14" s="25" t="s">
        <v>35</v>
      </c>
      <c r="L14" s="8">
        <v>500.0</v>
      </c>
      <c r="M14" s="12">
        <v>45819.0</v>
      </c>
      <c r="N14" s="24" t="s">
        <v>33</v>
      </c>
      <c r="O14" s="2"/>
      <c r="P14" s="25" t="s">
        <v>36</v>
      </c>
      <c r="Q14" s="8">
        <v>294.1</v>
      </c>
      <c r="R14" s="12">
        <v>45825.0</v>
      </c>
      <c r="S14" s="24" t="s">
        <v>33</v>
      </c>
      <c r="T14" s="2"/>
      <c r="U14" s="2"/>
      <c r="V14" s="2"/>
      <c r="W14" s="2"/>
      <c r="X14" s="2"/>
      <c r="Y14" s="2"/>
      <c r="Z14" s="2"/>
    </row>
    <row r="15">
      <c r="A15" s="24" t="s">
        <v>37</v>
      </c>
      <c r="B15" s="8">
        <v>329.51</v>
      </c>
      <c r="C15" s="12">
        <v>45810.0</v>
      </c>
      <c r="D15" s="24" t="s">
        <v>33</v>
      </c>
      <c r="E15" s="2"/>
      <c r="F15" s="26" t="s">
        <v>38</v>
      </c>
      <c r="G15" s="8">
        <v>291.93</v>
      </c>
      <c r="H15" s="12">
        <v>45821.0</v>
      </c>
      <c r="I15" s="24" t="s">
        <v>33</v>
      </c>
      <c r="L15" s="27">
        <v>0.0</v>
      </c>
      <c r="M15" s="2" t="s">
        <v>13</v>
      </c>
      <c r="N15" s="2"/>
      <c r="O15" s="2"/>
      <c r="Q15" s="27">
        <v>0.0</v>
      </c>
      <c r="R15" s="2" t="s">
        <v>13</v>
      </c>
      <c r="S15" s="2"/>
      <c r="T15" s="2"/>
      <c r="U15" s="2"/>
      <c r="V15" s="2"/>
      <c r="W15" s="2"/>
      <c r="X15" s="2"/>
      <c r="Y15" s="2"/>
      <c r="Z15" s="2"/>
    </row>
    <row r="16">
      <c r="A16" s="24" t="s">
        <v>39</v>
      </c>
      <c r="B16" s="8">
        <v>3107.0</v>
      </c>
      <c r="C16" s="12">
        <v>45810.0</v>
      </c>
      <c r="D16" s="24" t="s">
        <v>33</v>
      </c>
      <c r="E16" s="2"/>
      <c r="F16" s="26" t="s">
        <v>40</v>
      </c>
      <c r="G16" s="8">
        <v>311.8</v>
      </c>
      <c r="H16" s="12">
        <v>45822.0</v>
      </c>
      <c r="I16" s="24" t="s">
        <v>33</v>
      </c>
      <c r="L16" s="27">
        <v>0.0</v>
      </c>
      <c r="M16" s="2" t="s">
        <v>13</v>
      </c>
      <c r="N16" s="2"/>
      <c r="O16" s="2"/>
      <c r="Q16" s="27">
        <v>0.0</v>
      </c>
      <c r="R16" s="2" t="s">
        <v>13</v>
      </c>
      <c r="S16" s="2"/>
      <c r="T16" s="2"/>
      <c r="U16" s="2"/>
      <c r="V16" s="2"/>
      <c r="W16" s="2"/>
      <c r="X16" s="2"/>
      <c r="Y16" s="2"/>
      <c r="Z16" s="2"/>
    </row>
    <row r="17">
      <c r="A17" s="24" t="s">
        <v>41</v>
      </c>
      <c r="B17" s="8">
        <v>1394.15</v>
      </c>
      <c r="C17" s="12">
        <v>45811.0</v>
      </c>
      <c r="D17" s="24" t="s">
        <v>33</v>
      </c>
      <c r="E17" s="2"/>
      <c r="F17" s="26" t="s">
        <v>42</v>
      </c>
      <c r="G17" s="8">
        <v>664.93</v>
      </c>
      <c r="H17" s="12">
        <v>45828.0</v>
      </c>
      <c r="I17" s="24" t="s">
        <v>33</v>
      </c>
      <c r="L17" s="27">
        <v>0.0</v>
      </c>
      <c r="M17" s="2" t="s">
        <v>13</v>
      </c>
      <c r="N17" s="2"/>
      <c r="O17" s="2"/>
      <c r="Q17" s="27">
        <v>0.0</v>
      </c>
      <c r="R17" s="2" t="s">
        <v>13</v>
      </c>
      <c r="S17" s="2"/>
      <c r="T17" s="2"/>
      <c r="U17" s="2"/>
      <c r="V17" s="2"/>
      <c r="W17" s="2"/>
      <c r="X17" s="2"/>
      <c r="Y17" s="2"/>
      <c r="Z17" s="2"/>
    </row>
    <row r="18">
      <c r="A18" s="24" t="s">
        <v>43</v>
      </c>
      <c r="B18" s="8">
        <v>31.48</v>
      </c>
      <c r="C18" s="12">
        <v>45813.0</v>
      </c>
      <c r="D18" s="24" t="s">
        <v>33</v>
      </c>
      <c r="E18" s="2"/>
      <c r="F18" s="24" t="s">
        <v>44</v>
      </c>
      <c r="G18" s="8">
        <v>78.69</v>
      </c>
      <c r="H18" s="12">
        <v>45828.0</v>
      </c>
      <c r="I18" s="24" t="s">
        <v>33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7">
        <v>0.0</v>
      </c>
      <c r="C19" s="2" t="s">
        <v>13</v>
      </c>
      <c r="D19" s="2"/>
      <c r="E19" s="2"/>
      <c r="F19" s="24" t="s">
        <v>45</v>
      </c>
      <c r="G19" s="8">
        <v>1176.08</v>
      </c>
      <c r="H19" s="12">
        <v>45829.0</v>
      </c>
      <c r="I19" s="24" t="s">
        <v>33</v>
      </c>
      <c r="K19" s="17" t="s">
        <v>22</v>
      </c>
      <c r="L19" s="18">
        <f>SUM(L8:L11)</f>
        <v>0</v>
      </c>
      <c r="M19" s="19"/>
      <c r="N19" s="2"/>
      <c r="O19" s="2"/>
      <c r="P19" s="17" t="s">
        <v>22</v>
      </c>
      <c r="Q19" s="18">
        <f>SUM(Q13:Q17)</f>
        <v>294.1</v>
      </c>
      <c r="R19" s="19"/>
      <c r="S19" s="2"/>
      <c r="T19" s="2"/>
      <c r="U19" s="2"/>
      <c r="V19" s="2"/>
      <c r="W19" s="2"/>
      <c r="X19" s="2"/>
      <c r="Y19" s="2"/>
      <c r="Z19" s="2"/>
    </row>
    <row r="20">
      <c r="B20" s="27">
        <v>0.0</v>
      </c>
      <c r="C20" s="2" t="s">
        <v>13</v>
      </c>
      <c r="D20" s="2"/>
      <c r="E20" s="2"/>
      <c r="F20" s="24" t="s">
        <v>46</v>
      </c>
      <c r="G20" s="8">
        <v>556.48</v>
      </c>
      <c r="H20" s="12">
        <v>45829.0</v>
      </c>
      <c r="I20" s="24" t="s">
        <v>33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B21" s="27">
        <v>0.0</v>
      </c>
      <c r="C21" s="2" t="s">
        <v>13</v>
      </c>
      <c r="D21" s="2"/>
      <c r="E21" s="2"/>
      <c r="F21" s="24" t="s">
        <v>47</v>
      </c>
      <c r="G21" s="8">
        <v>180.0</v>
      </c>
      <c r="H21" s="12">
        <v>45829.0</v>
      </c>
      <c r="I21" s="24" t="s">
        <v>33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B22" s="27">
        <v>0.0</v>
      </c>
      <c r="C22" s="2" t="s">
        <v>13</v>
      </c>
      <c r="D22" s="2"/>
      <c r="E22" s="2"/>
      <c r="F22" s="24" t="s">
        <v>48</v>
      </c>
      <c r="G22" s="8">
        <v>123.0</v>
      </c>
      <c r="H22" s="12">
        <v>45829.0</v>
      </c>
      <c r="I22" s="24" t="s">
        <v>33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D23" s="2"/>
      <c r="E23" s="2"/>
      <c r="F23" s="26" t="s">
        <v>49</v>
      </c>
      <c r="G23" s="8">
        <v>356.0</v>
      </c>
      <c r="H23" s="12">
        <v>45829.0</v>
      </c>
      <c r="I23" s="24" t="s">
        <v>33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D24" s="2"/>
      <c r="E24" s="2"/>
      <c r="F24" s="26" t="s">
        <v>50</v>
      </c>
      <c r="G24" s="8">
        <v>164.82</v>
      </c>
      <c r="H24" s="12">
        <v>45829.0</v>
      </c>
      <c r="I24" s="24" t="s">
        <v>33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7" t="s">
        <v>22</v>
      </c>
      <c r="B25" s="18">
        <f>SUM(B14:B23)</f>
        <v>8362.14</v>
      </c>
      <c r="C25" s="19"/>
      <c r="D25" s="2"/>
      <c r="E25" s="2"/>
      <c r="F25" s="24" t="s">
        <v>51</v>
      </c>
      <c r="G25" s="8">
        <v>149.0</v>
      </c>
      <c r="H25" s="12">
        <v>45829.0</v>
      </c>
      <c r="I25" s="24" t="s">
        <v>33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4" t="s">
        <v>52</v>
      </c>
      <c r="G26" s="8">
        <v>275.0</v>
      </c>
      <c r="H26" s="12">
        <v>45829.0</v>
      </c>
      <c r="I26" s="24" t="s">
        <v>33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4" t="s">
        <v>53</v>
      </c>
      <c r="G27" s="8">
        <v>30.0</v>
      </c>
      <c r="H27" s="12">
        <v>45829.0</v>
      </c>
      <c r="I27" s="24" t="s">
        <v>33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54</v>
      </c>
      <c r="C28" s="2"/>
      <c r="D28" s="2"/>
      <c r="E28" s="2"/>
      <c r="F28" s="26" t="s">
        <v>55</v>
      </c>
      <c r="G28" s="8">
        <v>99.0</v>
      </c>
      <c r="H28" s="12">
        <v>45829.0</v>
      </c>
      <c r="I28" s="24" t="s">
        <v>33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 t="s">
        <v>56</v>
      </c>
      <c r="B29" s="27">
        <f>SUM(B25+E7)</f>
        <v>12094.14</v>
      </c>
      <c r="C29" s="2"/>
      <c r="D29" s="2"/>
      <c r="F29" s="26" t="s">
        <v>57</v>
      </c>
      <c r="G29" s="8">
        <v>679.0</v>
      </c>
      <c r="H29" s="12">
        <v>45829.0</v>
      </c>
      <c r="I29" s="24" t="s">
        <v>33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 t="s">
        <v>58</v>
      </c>
      <c r="B30" s="27">
        <f>SUM(I3)</f>
        <v>4000</v>
      </c>
      <c r="C30" s="2"/>
      <c r="F30" s="24" t="s">
        <v>59</v>
      </c>
      <c r="G30" s="8">
        <v>200.0</v>
      </c>
      <c r="H30" s="12">
        <v>45829.0</v>
      </c>
      <c r="I30" s="24" t="s">
        <v>33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8" t="s">
        <v>60</v>
      </c>
      <c r="B31" s="27">
        <f>SUM(B2+B4+B5)</f>
        <v>16155</v>
      </c>
      <c r="C31" s="2"/>
      <c r="D31" s="2"/>
      <c r="E31" s="2"/>
      <c r="F31" s="24" t="s">
        <v>61</v>
      </c>
      <c r="G31" s="8">
        <v>272.8</v>
      </c>
      <c r="H31" s="12">
        <v>45833.0</v>
      </c>
      <c r="I31" s="24" t="s">
        <v>33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 t="s">
        <v>62</v>
      </c>
      <c r="B32" s="27">
        <f>SUM(B2+B3+B4+B5-B25-E7-G35+B30-L19)</f>
        <v>2563.32</v>
      </c>
      <c r="C32" s="2"/>
      <c r="D32" s="2"/>
      <c r="E32" s="2"/>
      <c r="F32" s="24" t="s">
        <v>63</v>
      </c>
      <c r="G32" s="8">
        <v>450.49</v>
      </c>
      <c r="H32" s="12">
        <v>45835.0</v>
      </c>
      <c r="I32" s="24" t="s">
        <v>33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4" t="s">
        <v>64</v>
      </c>
      <c r="G33" s="8">
        <v>179.0</v>
      </c>
      <c r="H33" s="12">
        <v>45837.0</v>
      </c>
      <c r="I33" s="24" t="s">
        <v>33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17" t="s">
        <v>22</v>
      </c>
      <c r="G35" s="18">
        <f>SUM(G13:G33)</f>
        <v>6514.15</v>
      </c>
      <c r="H35" s="1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9" t="s">
        <v>65</v>
      </c>
      <c r="B36" s="30">
        <f>SUM(B2+B3+B5+2.36-B25-E4-4.87+B4-G35-Q19+17.75+2.44+8.53+35.47)</f>
        <v>230.9</v>
      </c>
      <c r="C36" s="2"/>
      <c r="D36" s="2"/>
      <c r="E36" s="2"/>
      <c r="F36" s="2"/>
      <c r="G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7">
    <mergeCell ref="A1:B1"/>
    <mergeCell ref="D1:F1"/>
    <mergeCell ref="H1:J1"/>
    <mergeCell ref="L1:N1"/>
    <mergeCell ref="L2:N2"/>
    <mergeCell ref="L3:N3"/>
    <mergeCell ref="L4:N4"/>
    <mergeCell ref="K12:N12"/>
    <mergeCell ref="P12:S12"/>
    <mergeCell ref="L5:N5"/>
    <mergeCell ref="L6:N6"/>
    <mergeCell ref="L7:N7"/>
    <mergeCell ref="L8:N8"/>
    <mergeCell ref="L9:N9"/>
    <mergeCell ref="A12:D12"/>
    <mergeCell ref="F12:I12"/>
    <mergeCell ref="A28:B28"/>
  </mergeCells>
  <dataValidations>
    <dataValidation type="list" allowBlank="1" showErrorMessage="1" sqref="N14:N17 S14:S17 D14:D22 I14:I33">
      <formula1>"Pendiente,Pagado"</formula1>
    </dataValidation>
  </dataValidations>
  <drawing r:id="rId1"/>
</worksheet>
</file>