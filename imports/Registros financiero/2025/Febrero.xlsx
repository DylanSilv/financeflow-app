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<sst xmlns="http://schemas.openxmlformats.org/spreadsheetml/2006/main" count="86" uniqueCount="57">
  <si>
    <t xml:space="preserve">Datos Generales </t>
  </si>
  <si>
    <t xml:space="preserve">Gastos Fijos </t>
  </si>
  <si>
    <t>Ahorro</t>
  </si>
  <si>
    <t>Cobro</t>
  </si>
  <si>
    <t>Categorias</t>
  </si>
  <si>
    <t>Monto</t>
  </si>
  <si>
    <t>Fecha de pago</t>
  </si>
  <si>
    <t>Estado</t>
  </si>
  <si>
    <t>Objetivo</t>
  </si>
  <si>
    <t>Fecha de ingreso</t>
  </si>
  <si>
    <t>Celular</t>
  </si>
  <si>
    <t>Pagado</t>
  </si>
  <si>
    <t>Guardado</t>
  </si>
  <si>
    <t>$</t>
  </si>
  <si>
    <t>DD/MM/AAAA</t>
  </si>
  <si>
    <t>Ventilador</t>
  </si>
  <si>
    <t>Monopatin</t>
  </si>
  <si>
    <t>Gimnasio</t>
  </si>
  <si>
    <t>Total</t>
  </si>
  <si>
    <t>Compras</t>
  </si>
  <si>
    <t>Disponible actualmente</t>
  </si>
  <si>
    <t>NOTAS</t>
  </si>
  <si>
    <t>Cosas</t>
  </si>
  <si>
    <t>Costo</t>
  </si>
  <si>
    <t xml:space="preserve">Fecha de pago </t>
  </si>
  <si>
    <t>1/6 cuota del monopatin</t>
  </si>
  <si>
    <t>Macro (Desodorante, Bucal, Desodorante de pie, helado)</t>
  </si>
  <si>
    <t>1/2 cuota del ventilador</t>
  </si>
  <si>
    <t>Pantalon</t>
  </si>
  <si>
    <t>Remeras x2</t>
  </si>
  <si>
    <t>Este mes me sobraron $500</t>
  </si>
  <si>
    <t>Corte de pelo</t>
  </si>
  <si>
    <t>Pan/Choco/Fiam/Queso</t>
  </si>
  <si>
    <t>Dulce de leche</t>
  </si>
  <si>
    <t>Alfajor</t>
  </si>
  <si>
    <t>Hamburguesa</t>
  </si>
  <si>
    <t>Grasa</t>
  </si>
  <si>
    <t>15/02/2025</t>
  </si>
  <si>
    <t>Yogur</t>
  </si>
  <si>
    <t>16/02/2025</t>
  </si>
  <si>
    <t>Frappe</t>
  </si>
  <si>
    <t>20/02/2025</t>
  </si>
  <si>
    <t>Pan</t>
  </si>
  <si>
    <t>21/02/2025</t>
  </si>
  <si>
    <t xml:space="preserve">Coca </t>
  </si>
  <si>
    <t>23/02/2025</t>
  </si>
  <si>
    <t>Pizza (DEVOLUCION)</t>
  </si>
  <si>
    <t>22/02/2025</t>
  </si>
  <si>
    <t>Coca</t>
  </si>
  <si>
    <t>Sidra</t>
  </si>
  <si>
    <t>Pan y hamburguesa</t>
  </si>
  <si>
    <t>Bizcochos</t>
  </si>
  <si>
    <t>Resumen</t>
  </si>
  <si>
    <t xml:space="preserve">Total gastos </t>
  </si>
  <si>
    <t>Total ahorros</t>
  </si>
  <si>
    <t>Billetera</t>
  </si>
  <si>
    <t xml:space="preserve">Disponible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</si>
</sst>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mm/dd/yyyy"/>
    <numFmt numFmtId="166" formatCode="&quot;$&quot;#,##0"/>
    <numFmt numFmtId="167" formatCode="dd/mm/yyyy"/>
  </numFmts>
  <fonts count="5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3" fontId="1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166" xfId="0" applyAlignment="1" applyFont="1" applyNumberFormat="1">
      <alignment horizontal="right" vertical="bottom"/>
    </xf>
    <xf borderId="0" fillId="0" fontId="2" numFmtId="0" xfId="0" applyFont="1"/>
    <xf borderId="0" fillId="0" fontId="3" numFmtId="164" xfId="0" applyAlignment="1" applyFont="1" applyNumberFormat="1">
      <alignment vertical="bottom"/>
    </xf>
    <xf borderId="0" fillId="4" fontId="2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3" fontId="2" numFmtId="166" xfId="0" applyAlignment="1" applyFont="1" applyNumberFormat="1">
      <alignment horizontal="right" vertical="bottom"/>
    </xf>
    <xf borderId="0" fillId="3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3" fontId="1" numFmtId="0" xfId="0" applyAlignment="1" applyFont="1">
      <alignment horizontal="center"/>
    </xf>
    <xf borderId="1" fillId="3" fontId="1" numFmtId="0" xfId="0" applyAlignment="1" applyBorder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0" fillId="2" fontId="2" numFmtId="164" xfId="0" applyAlignment="1" applyFont="1" applyNumberFormat="1">
      <alignment horizontal="right" readingOrder="0"/>
    </xf>
    <xf borderId="4" fillId="0" fontId="2" numFmtId="0" xfId="0" applyAlignment="1" applyBorder="1" applyFont="1">
      <alignment shrinkToFit="0" vertical="bottom" wrapText="1"/>
    </xf>
    <xf borderId="5" fillId="0" fontId="4" numFmtId="0" xfId="0" applyBorder="1" applyFont="1"/>
    <xf borderId="0" fillId="0" fontId="2" numFmtId="0" xfId="0" applyAlignment="1" applyFont="1">
      <alignment shrinkToFit="0" vertical="bottom" wrapText="1"/>
    </xf>
    <xf borderId="0" fillId="0" fontId="2" numFmtId="166" xfId="0" applyAlignment="1" applyFont="1" applyNumberFormat="1">
      <alignment horizontal="right"/>
    </xf>
    <xf borderId="4" fillId="0" fontId="2" numFmtId="0" xfId="0" applyAlignment="1" applyBorder="1" applyFont="1">
      <alignment vertical="bottom"/>
    </xf>
    <xf borderId="0" fillId="0" fontId="2" numFmtId="167" xfId="0" applyAlignment="1" applyFont="1" applyNumberFormat="1">
      <alignment readingOrder="0" vertical="bottom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7" fillId="0" fontId="4" numFmtId="0" xfId="0" applyBorder="1" applyFont="1"/>
    <xf borderId="8" fillId="0" fontId="4" numFmtId="0" xfId="0" applyBorder="1" applyFont="1"/>
    <xf borderId="0" fillId="0" fontId="2" numFmtId="167" xfId="0" applyAlignment="1" applyFont="1" applyNumberForma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2" numFmtId="166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11" max="11" width="18.13"/>
  </cols>
  <sheetData>
    <row r="1">
      <c r="A1" s="1" t="s">
        <v>0</v>
      </c>
      <c r="C1" s="2"/>
      <c r="D1" s="3" t="s">
        <v>1</v>
      </c>
      <c r="H1" s="2"/>
      <c r="I1" s="1" t="s">
        <v>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3</v>
      </c>
      <c r="B2" s="5">
        <v>11948.0</v>
      </c>
      <c r="C2" s="2"/>
      <c r="D2" s="4" t="s">
        <v>4</v>
      </c>
      <c r="E2" s="4" t="s">
        <v>5</v>
      </c>
      <c r="F2" s="4" t="s">
        <v>6</v>
      </c>
      <c r="G2" s="4" t="s">
        <v>7</v>
      </c>
      <c r="H2" s="2"/>
      <c r="I2" s="4" t="s">
        <v>8</v>
      </c>
      <c r="J2" s="4" t="s">
        <v>5</v>
      </c>
      <c r="K2" s="4" t="s">
        <v>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9</v>
      </c>
      <c r="B3" s="6">
        <v>45718.0</v>
      </c>
      <c r="C3" s="2"/>
      <c r="D3" s="7" t="s">
        <v>10</v>
      </c>
      <c r="E3" s="8">
        <v>500.0</v>
      </c>
      <c r="F3" s="6">
        <v>45779.0</v>
      </c>
      <c r="G3" s="9" t="s">
        <v>11</v>
      </c>
      <c r="H3" s="2"/>
      <c r="I3" s="10" t="s">
        <v>12</v>
      </c>
      <c r="J3" s="7" t="s">
        <v>13</v>
      </c>
      <c r="K3" s="7" t="s">
        <v>14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7" t="s">
        <v>15</v>
      </c>
      <c r="E4" s="5">
        <v>747.5</v>
      </c>
      <c r="F4" s="6">
        <v>45779.0</v>
      </c>
      <c r="G4" s="9" t="s">
        <v>11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/>
      <c r="B5" s="11"/>
      <c r="C5" s="11"/>
      <c r="D5" s="7" t="s">
        <v>16</v>
      </c>
      <c r="E5" s="8">
        <v>1831.67</v>
      </c>
      <c r="F5" s="6">
        <v>45779.0</v>
      </c>
      <c r="G5" s="9" t="s">
        <v>11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/>
      <c r="B6" s="11"/>
      <c r="C6" s="11"/>
      <c r="D6" s="7" t="s">
        <v>17</v>
      </c>
      <c r="E6" s="8">
        <v>1490.0</v>
      </c>
      <c r="F6" s="6">
        <v>45810.0</v>
      </c>
      <c r="G6" s="9" t="s">
        <v>11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/>
      <c r="B7" s="11"/>
      <c r="C7" s="1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/>
      <c r="B8" s="11"/>
      <c r="C8" s="11"/>
      <c r="D8" s="12" t="s">
        <v>18</v>
      </c>
      <c r="E8" s="13">
        <f>SUM(E3:E6)</f>
        <v>4569.17</v>
      </c>
      <c r="F8" s="14"/>
      <c r="G8" s="2"/>
      <c r="H8" s="2"/>
      <c r="I8" s="2"/>
      <c r="J8" s="15">
        <f>B2-B38-E8</f>
        <v>-431.68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/>
      <c r="B9" s="11"/>
      <c r="C9" s="11"/>
      <c r="D9" s="2"/>
      <c r="E9" s="2"/>
      <c r="F9" s="2"/>
      <c r="G9" s="2"/>
      <c r="H9" s="2"/>
      <c r="I9" s="2"/>
      <c r="J9" s="16">
        <v>201.4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19</v>
      </c>
      <c r="B12" s="14"/>
      <c r="C12" s="14"/>
      <c r="D12" s="14"/>
      <c r="E12" s="2"/>
      <c r="F12" s="17" t="s">
        <v>20</v>
      </c>
      <c r="H12" s="2"/>
      <c r="I12" s="18" t="s">
        <v>21</v>
      </c>
      <c r="J12" s="19"/>
      <c r="K12" s="2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22</v>
      </c>
      <c r="B13" s="4" t="s">
        <v>23</v>
      </c>
      <c r="C13" s="4" t="s">
        <v>24</v>
      </c>
      <c r="D13" s="4" t="s">
        <v>7</v>
      </c>
      <c r="E13" s="2"/>
      <c r="F13" s="21">
        <f>SUM(B2-B14-B18+201.84+20.9+0.8-E3-E6-B19-10+1.8-E4-E5-B20+0.75-B15-B16-B21-B22+1.23-B23+0.82-B24+2.44-B25+1.59-B17-B26-B27-B28+B29+2.62-B30-B31-B32+1.38+2.62+1.56-B33)</f>
        <v>500.67</v>
      </c>
      <c r="H13" s="2"/>
      <c r="I13" s="22" t="s">
        <v>25</v>
      </c>
      <c r="K13" s="2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4" t="s">
        <v>26</v>
      </c>
      <c r="B14" s="25">
        <v>1275.0</v>
      </c>
      <c r="C14" s="6">
        <v>45718.0</v>
      </c>
      <c r="D14" s="9" t="s">
        <v>11</v>
      </c>
      <c r="E14" s="2"/>
      <c r="F14" s="2"/>
      <c r="G14" s="2"/>
      <c r="H14" s="2"/>
      <c r="I14" s="26" t="s">
        <v>27</v>
      </c>
      <c r="K14" s="2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4" t="s">
        <v>28</v>
      </c>
      <c r="B15" s="25">
        <v>2449.18</v>
      </c>
      <c r="C15" s="27">
        <v>45697.0</v>
      </c>
      <c r="D15" s="9" t="s">
        <v>11</v>
      </c>
      <c r="E15" s="2"/>
      <c r="F15" s="2"/>
      <c r="G15" s="2"/>
      <c r="H15" s="2"/>
      <c r="I15" s="28"/>
      <c r="K15" s="2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4" t="s">
        <v>29</v>
      </c>
      <c r="B16" s="25">
        <v>1276.73</v>
      </c>
      <c r="C16" s="27">
        <v>45697.0</v>
      </c>
      <c r="D16" s="9" t="s">
        <v>11</v>
      </c>
      <c r="E16" s="2"/>
      <c r="F16" s="2"/>
      <c r="G16" s="2"/>
      <c r="H16" s="2"/>
      <c r="I16" s="29" t="s">
        <v>30</v>
      </c>
      <c r="K16" s="2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4" t="s">
        <v>31</v>
      </c>
      <c r="B17" s="25">
        <v>500.0</v>
      </c>
      <c r="C17" s="27">
        <v>45697.0</v>
      </c>
      <c r="D17" s="9" t="s">
        <v>11</v>
      </c>
      <c r="E17" s="2"/>
      <c r="F17" s="2"/>
      <c r="G17" s="2"/>
      <c r="H17" s="2"/>
      <c r="I17" s="28"/>
      <c r="K17" s="2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4" t="s">
        <v>32</v>
      </c>
      <c r="B18" s="25">
        <v>258.0</v>
      </c>
      <c r="C18" s="6">
        <v>45718.0</v>
      </c>
      <c r="D18" s="9" t="s">
        <v>11</v>
      </c>
      <c r="E18" s="2"/>
      <c r="F18" s="2"/>
      <c r="G18" s="2"/>
      <c r="H18" s="2"/>
      <c r="I18" s="28"/>
      <c r="K18" s="2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 t="s">
        <v>33</v>
      </c>
      <c r="B19" s="8">
        <v>110.0</v>
      </c>
      <c r="C19" s="6">
        <v>45779.0</v>
      </c>
      <c r="D19" s="9" t="s">
        <v>11</v>
      </c>
      <c r="E19" s="2"/>
      <c r="F19" s="2"/>
      <c r="G19" s="2"/>
      <c r="H19" s="2"/>
      <c r="I19" s="28"/>
      <c r="K19" s="2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 t="s">
        <v>34</v>
      </c>
      <c r="B20" s="8">
        <v>46.0</v>
      </c>
      <c r="C20" s="6">
        <v>45840.0</v>
      </c>
      <c r="D20" s="9" t="s">
        <v>11</v>
      </c>
      <c r="E20" s="2"/>
      <c r="F20" s="2"/>
      <c r="G20" s="2"/>
      <c r="H20" s="2"/>
      <c r="I20" s="30"/>
      <c r="J20" s="31"/>
      <c r="K20" s="3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 t="s">
        <v>35</v>
      </c>
      <c r="B21" s="8">
        <v>40.0</v>
      </c>
      <c r="C21" s="6">
        <v>45932.0</v>
      </c>
      <c r="D21" s="9" t="s">
        <v>11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8">
        <v>75.0</v>
      </c>
      <c r="C22" s="6">
        <v>45932.0</v>
      </c>
      <c r="D22" s="9" t="s">
        <v>11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 t="s">
        <v>36</v>
      </c>
      <c r="B23" s="8">
        <v>45.0</v>
      </c>
      <c r="C23" s="33" t="s">
        <v>37</v>
      </c>
      <c r="D23" s="9" t="s">
        <v>11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7" t="s">
        <v>33</v>
      </c>
      <c r="B24" s="8">
        <v>149.0</v>
      </c>
      <c r="C24" s="33" t="s">
        <v>37</v>
      </c>
      <c r="D24" s="9" t="s">
        <v>11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7" t="s">
        <v>38</v>
      </c>
      <c r="B25" s="8">
        <v>97.2</v>
      </c>
      <c r="C25" s="33" t="s">
        <v>39</v>
      </c>
      <c r="D25" s="9" t="s">
        <v>11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7" t="s">
        <v>40</v>
      </c>
      <c r="B26" s="8">
        <v>230.0</v>
      </c>
      <c r="C26" s="33" t="s">
        <v>41</v>
      </c>
      <c r="D26" s="9" t="s">
        <v>11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7" t="s">
        <v>42</v>
      </c>
      <c r="B27" s="8">
        <v>110.0</v>
      </c>
      <c r="C27" s="33" t="s">
        <v>43</v>
      </c>
      <c r="D27" s="9" t="s">
        <v>11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7" t="s">
        <v>44</v>
      </c>
      <c r="B28" s="8">
        <v>160.2</v>
      </c>
      <c r="C28" s="33" t="s">
        <v>45</v>
      </c>
      <c r="D28" s="9" t="s">
        <v>11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7" t="s">
        <v>46</v>
      </c>
      <c r="B29" s="8">
        <v>351.0</v>
      </c>
      <c r="C29" s="33" t="s">
        <v>47</v>
      </c>
      <c r="D29" s="9" t="s">
        <v>11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6" t="s">
        <v>48</v>
      </c>
      <c r="B30" s="34">
        <v>160.2</v>
      </c>
      <c r="C30" s="27">
        <v>45715.0</v>
      </c>
      <c r="D30" s="9" t="s">
        <v>11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6" t="s">
        <v>49</v>
      </c>
      <c r="B31" s="34">
        <v>95.0</v>
      </c>
      <c r="C31" s="27">
        <v>45715.0</v>
      </c>
      <c r="D31" s="9" t="s">
        <v>11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6" t="s">
        <v>50</v>
      </c>
      <c r="B32" s="34">
        <v>84.0</v>
      </c>
      <c r="C32" s="27">
        <v>45715.0</v>
      </c>
      <c r="D32" s="9" t="s">
        <v>11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6" t="s">
        <v>51</v>
      </c>
      <c r="B33" s="16">
        <v>299.0</v>
      </c>
      <c r="C33" s="27">
        <v>45719.0</v>
      </c>
      <c r="D33" s="9" t="s">
        <v>11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" t="s">
        <v>18</v>
      </c>
      <c r="B38" s="13">
        <f>SUM(B14:B33)</f>
        <v>7810.51</v>
      </c>
      <c r="C38" s="14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52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 t="s">
        <v>53</v>
      </c>
      <c r="B41" s="8">
        <f>SUM(E3:E6)</f>
        <v>4569.17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 t="s">
        <v>54</v>
      </c>
      <c r="B42" s="8">
        <v>2340.0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 t="s">
        <v>55</v>
      </c>
      <c r="B43" s="35">
        <v>0.0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 t="s">
        <v>56</v>
      </c>
      <c r="B45" s="5">
        <f>SUM(B2-B38-E8+202.64)</f>
        <v>-229.04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7"/>
      <c r="B99" s="8"/>
      <c r="C99" s="7"/>
      <c r="D99" s="9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I14:K14"/>
    <mergeCell ref="I15:K15"/>
    <mergeCell ref="I16:K16"/>
    <mergeCell ref="I17:K17"/>
    <mergeCell ref="I18:K18"/>
    <mergeCell ref="I19:K19"/>
    <mergeCell ref="I20:K20"/>
    <mergeCell ref="A40:B40"/>
    <mergeCell ref="A1:B1"/>
    <mergeCell ref="D1:G1"/>
    <mergeCell ref="I1:K1"/>
    <mergeCell ref="F12:G12"/>
    <mergeCell ref="I12:K12"/>
    <mergeCell ref="F13:G13"/>
    <mergeCell ref="I13:K13"/>
  </mergeCells>
  <dataValidations>
    <dataValidation type="list" allowBlank="1" showErrorMessage="1" sqref="G3:G6 D14:D33 D99">
      <formula1>"Pendiente,Pagado"</formula1>
    </dataValidation>
  </dataValidations>
  <drawing r:id="rId1"/>
</worksheet>
</file>