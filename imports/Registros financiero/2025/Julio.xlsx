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<sst xmlns="http://schemas.openxmlformats.org/spreadsheetml/2006/main" count="76" uniqueCount="47">
  <si>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</si>
  <si>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</si>
  <si>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</si>
  <si>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</si>
  <si>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</si>
  <si>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</si>
  <si>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</si>
  <si>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</si>
  <si>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</si>
  <si>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mes pasado</t>
  </si>
  <si>
    <t>Celular</t>
  </si>
  <si>
    <t>Guardado</t>
  </si>
  <si>
    <t>beneficio</t>
  </si>
  <si>
    <t>Monopatin</t>
  </si>
  <si>
    <t>ingreso beneficio</t>
  </si>
  <si>
    <t>Total</t>
  </si>
  <si>
    <t>Compras con itau</t>
  </si>
  <si>
    <t>Compras con santander</t>
  </si>
  <si>
    <t>Cosas</t>
  </si>
  <si>
    <t>Costo</t>
  </si>
  <si>
    <t xml:space="preserve">Fecha de pago </t>
  </si>
  <si>
    <t>Estado</t>
  </si>
  <si>
    <t xml:space="preserve">bizcochos </t>
  </si>
  <si>
    <t>Pagado</t>
  </si>
  <si>
    <t xml:space="preserve">yogures </t>
  </si>
  <si>
    <t>morron</t>
  </si>
  <si>
    <t>alfajores</t>
  </si>
  <si>
    <t xml:space="preserve">Coca cola </t>
  </si>
  <si>
    <t xml:space="preserve">chocolate </t>
  </si>
  <si>
    <t xml:space="preserve">Corte del teo </t>
  </si>
  <si>
    <t xml:space="preserve">pago santander </t>
  </si>
  <si>
    <t xml:space="preserve">pago del claro </t>
  </si>
  <si>
    <t xml:space="preserve">regalo de papa </t>
  </si>
  <si>
    <t xml:space="preserve">inversión de mamá </t>
  </si>
  <si>
    <t>DD/MM/AAAA</t>
  </si>
  <si>
    <t xml:space="preserve">alfajores </t>
  </si>
  <si>
    <t>carne picada (PedidoYa)</t>
  </si>
  <si>
    <t xml:space="preserve">gringas </t>
  </si>
  <si>
    <t>Resumen</t>
  </si>
  <si>
    <t xml:space="preserve">Total gastos </t>
  </si>
  <si>
    <t>NOTAS</t>
  </si>
  <si>
    <t>Total ahorros</t>
  </si>
  <si>
    <t>Tarjeta itau</t>
  </si>
  <si>
    <t>última cuota del monopatin 6/6</t>
  </si>
  <si>
    <t xml:space="preserve">Disponible </t>
  </si>
  <si>
    <t xml:space="preserve">Este mes cambie la tarjeta para cobrar a la santander </t>
  </si>
  <si>
    <t xml:space="preserve">Tarjeta santander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</si>
</sst>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d/m/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4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4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3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1" fillId="3" fontId="1" numFmtId="0" xfId="0" applyAlignment="1" applyBorder="1" applyFont="1">
      <alignment horizontal="center" vertical="bottom"/>
    </xf>
    <xf borderId="2" fillId="0" fontId="6" numFmtId="0" xfId="0" applyBorder="1" applyFont="1"/>
    <xf borderId="3" fillId="0" fontId="6" numFmtId="0" xfId="0" applyBorder="1" applyFont="1"/>
    <xf borderId="0" fillId="5" fontId="3" numFmtId="0" xfId="0" applyAlignment="1" applyFill="1" applyFont="1">
      <alignment readingOrder="0" vertical="bottom"/>
    </xf>
    <xf borderId="0" fillId="5" fontId="2" numFmtId="164" xfId="0" applyAlignment="1" applyFont="1" applyNumberFormat="1">
      <alignment vertical="bottom"/>
    </xf>
    <xf borderId="4" fillId="0" fontId="2" numFmtId="0" xfId="0" applyAlignment="1" applyBorder="1" applyFont="1">
      <alignment readingOrder="0" vertical="bottom"/>
    </xf>
    <xf borderId="5" fillId="0" fontId="6" numFmtId="0" xfId="0" applyBorder="1" applyFont="1"/>
    <xf borderId="4" fillId="0" fontId="2" numFmtId="0" xfId="0" applyAlignment="1" applyBorder="1" applyFont="1">
      <alignment vertical="bottom"/>
    </xf>
    <xf borderId="0" fillId="6" fontId="3" numFmtId="0" xfId="0" applyAlignment="1" applyFill="1" applyFont="1">
      <alignment readingOrder="0" vertical="bottom"/>
    </xf>
    <xf borderId="0" fillId="6" fontId="2" numFmtId="164" xfId="0" applyAlignment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vertical="bottom"/>
    </xf>
    <xf borderId="6" fillId="0" fontId="2" numFmtId="0" xfId="0" applyAlignment="1" applyBorder="1" applyFont="1">
      <alignment vertical="bottom"/>
    </xf>
    <xf borderId="7" fillId="0" fontId="6" numFmtId="0" xfId="0" applyBorder="1" applyFont="1"/>
    <xf borderId="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6" max="6" width="15.63"/>
    <col customWidth="1" min="10" max="10" width="14.75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7744.0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9</v>
      </c>
      <c r="B3" s="5">
        <v>230.9</v>
      </c>
      <c r="C3" s="2"/>
      <c r="D3" s="4" t="s">
        <v>10</v>
      </c>
      <c r="E3" s="5">
        <v>500.0</v>
      </c>
      <c r="F3" s="7">
        <v>45845.0</v>
      </c>
      <c r="G3" s="2"/>
      <c r="H3" s="4" t="s">
        <v>11</v>
      </c>
      <c r="I3" s="5">
        <v>1500.0</v>
      </c>
      <c r="J3" s="8">
        <v>45848.0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12</v>
      </c>
      <c r="B4" s="5">
        <v>1300.0</v>
      </c>
      <c r="C4" s="2"/>
      <c r="D4" s="4" t="s">
        <v>13</v>
      </c>
      <c r="E4" s="5">
        <v>1832.0</v>
      </c>
      <c r="F4" s="8">
        <v>45841.0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8</v>
      </c>
      <c r="B5" s="8">
        <v>45839.0</v>
      </c>
      <c r="C5" s="9"/>
      <c r="D5" s="4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14</v>
      </c>
      <c r="B6" s="7">
        <v>45849.0</v>
      </c>
      <c r="C6" s="9"/>
      <c r="D6" s="12" t="s">
        <v>15</v>
      </c>
      <c r="E6" s="13">
        <f>SUM(E3:E5)</f>
        <v>2332</v>
      </c>
      <c r="F6" s="1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9"/>
      <c r="C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/>
      <c r="B8" s="9"/>
      <c r="C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16</v>
      </c>
      <c r="E12" s="2"/>
      <c r="F12" s="15" t="s">
        <v>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18</v>
      </c>
      <c r="B13" s="4" t="s">
        <v>19</v>
      </c>
      <c r="C13" s="4" t="s">
        <v>20</v>
      </c>
      <c r="D13" s="4" t="s">
        <v>21</v>
      </c>
      <c r="E13" s="2"/>
      <c r="F13" s="4" t="s">
        <v>18</v>
      </c>
      <c r="G13" s="4" t="s">
        <v>19</v>
      </c>
      <c r="H13" s="4" t="s">
        <v>20</v>
      </c>
      <c r="I13" s="4" t="s">
        <v>21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22</v>
      </c>
      <c r="B14" s="5">
        <v>662.95</v>
      </c>
      <c r="C14" s="7">
        <v>45839.0</v>
      </c>
      <c r="D14" s="16" t="s">
        <v>23</v>
      </c>
      <c r="E14" s="2"/>
      <c r="F14" s="16" t="s">
        <v>24</v>
      </c>
      <c r="G14" s="5">
        <v>147.54</v>
      </c>
      <c r="H14" s="7">
        <v>45849.0</v>
      </c>
      <c r="I14" s="16" t="s">
        <v>23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6" t="s">
        <v>25</v>
      </c>
      <c r="B15" s="5">
        <v>21.02</v>
      </c>
      <c r="C15" s="8">
        <v>45844.0</v>
      </c>
      <c r="D15" s="16" t="s">
        <v>23</v>
      </c>
      <c r="E15" s="2"/>
      <c r="F15" s="16" t="s">
        <v>26</v>
      </c>
      <c r="G15" s="5">
        <v>72.79</v>
      </c>
      <c r="H15" s="7">
        <v>45849.0</v>
      </c>
      <c r="I15" s="16" t="s">
        <v>23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 t="s">
        <v>27</v>
      </c>
      <c r="B16" s="5">
        <v>175.09</v>
      </c>
      <c r="C16" s="8">
        <v>45844.0</v>
      </c>
      <c r="D16" s="16" t="s">
        <v>23</v>
      </c>
      <c r="E16" s="2"/>
      <c r="F16" s="16" t="s">
        <v>28</v>
      </c>
      <c r="G16" s="5">
        <v>117.05</v>
      </c>
      <c r="H16" s="7">
        <v>45850.0</v>
      </c>
      <c r="I16" s="16" t="s">
        <v>23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29</v>
      </c>
      <c r="B17" s="5">
        <v>973.77</v>
      </c>
      <c r="C17" s="8">
        <v>45845.0</v>
      </c>
      <c r="D17" s="16" t="s">
        <v>23</v>
      </c>
      <c r="E17" s="2"/>
      <c r="F17" s="16" t="s">
        <v>30</v>
      </c>
      <c r="G17" s="5">
        <v>342.01</v>
      </c>
      <c r="H17" s="7">
        <v>45859.0</v>
      </c>
      <c r="I17" s="16" t="s">
        <v>23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31</v>
      </c>
      <c r="B18" s="5">
        <v>1552.78</v>
      </c>
      <c r="C18" s="8">
        <v>45845.0</v>
      </c>
      <c r="D18" s="16" t="s">
        <v>23</v>
      </c>
      <c r="E18" s="2"/>
      <c r="F18" s="16" t="s">
        <v>30</v>
      </c>
      <c r="G18" s="5">
        <v>180.0</v>
      </c>
      <c r="H18" s="7">
        <v>45859.0</v>
      </c>
      <c r="I18" s="16" t="s">
        <v>23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 t="s">
        <v>32</v>
      </c>
      <c r="B19" s="5">
        <v>500.0</v>
      </c>
      <c r="C19" s="8">
        <v>45845.0</v>
      </c>
      <c r="D19" s="16" t="s">
        <v>23</v>
      </c>
      <c r="E19" s="2"/>
      <c r="F19" s="16" t="s">
        <v>26</v>
      </c>
      <c r="G19" s="5">
        <v>68.85</v>
      </c>
      <c r="H19" s="7">
        <v>45863.0</v>
      </c>
      <c r="I19" s="16" t="s">
        <v>23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7" t="s">
        <v>33</v>
      </c>
      <c r="B20" s="5">
        <v>1568.0</v>
      </c>
      <c r="C20" s="7">
        <v>45848.0</v>
      </c>
      <c r="D20" s="16" t="s">
        <v>23</v>
      </c>
      <c r="E20" s="2"/>
      <c r="G20" s="10">
        <v>0.0</v>
      </c>
      <c r="H20" s="2" t="s">
        <v>34</v>
      </c>
      <c r="I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 t="s">
        <v>35</v>
      </c>
      <c r="B21" s="5">
        <v>68.85</v>
      </c>
      <c r="C21" s="7">
        <v>45852.0</v>
      </c>
      <c r="D21" s="16" t="s">
        <v>23</v>
      </c>
      <c r="E21" s="2"/>
      <c r="G21" s="10">
        <v>0.0</v>
      </c>
      <c r="H21" s="2" t="s">
        <v>34</v>
      </c>
      <c r="I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7" t="s">
        <v>36</v>
      </c>
      <c r="B22" s="5">
        <v>71.67</v>
      </c>
      <c r="C22" s="8">
        <v>45868.0</v>
      </c>
      <c r="D22" s="16" t="s">
        <v>23</v>
      </c>
      <c r="E22" s="2"/>
      <c r="G22" s="10">
        <v>0.0</v>
      </c>
      <c r="H22" s="2" t="s">
        <v>34</v>
      </c>
      <c r="I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37</v>
      </c>
      <c r="B23" s="5">
        <v>83.61</v>
      </c>
      <c r="C23" s="7">
        <v>45871.0</v>
      </c>
      <c r="D23" s="16" t="s">
        <v>23</v>
      </c>
      <c r="E23" s="2"/>
      <c r="G23" s="10">
        <v>0.0</v>
      </c>
      <c r="H23" s="2" t="s">
        <v>34</v>
      </c>
      <c r="I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D24" s="2"/>
      <c r="E24" s="2"/>
      <c r="I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15</v>
      </c>
      <c r="B25" s="13">
        <f>SUM(B14:B23)</f>
        <v>5677.74</v>
      </c>
      <c r="C25" s="14"/>
      <c r="D25" s="2"/>
      <c r="E25" s="2"/>
      <c r="F25" s="12" t="s">
        <v>15</v>
      </c>
      <c r="G25" s="13">
        <f>SUM(G14:G23)</f>
        <v>928.24</v>
      </c>
      <c r="H25" s="14"/>
      <c r="I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38</v>
      </c>
      <c r="C28" s="2"/>
      <c r="D28" s="2"/>
      <c r="E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39</v>
      </c>
      <c r="B29" s="10">
        <f>SUM(B25+E6+G25)</f>
        <v>8937.98</v>
      </c>
      <c r="C29" s="2"/>
      <c r="D29" s="2"/>
      <c r="E29" s="2"/>
      <c r="I29" s="18" t="s">
        <v>40</v>
      </c>
      <c r="J29" s="19"/>
      <c r="K29" s="2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41</v>
      </c>
      <c r="B30" s="5">
        <v>7500.0</v>
      </c>
      <c r="C30" s="2"/>
      <c r="D30" s="2"/>
      <c r="E30" s="2"/>
      <c r="F30" s="21" t="s">
        <v>42</v>
      </c>
      <c r="G30" s="22">
        <f>SUM(B2+B3-B25-E4-5.43)</f>
        <v>459.73</v>
      </c>
      <c r="I30" s="23" t="s">
        <v>43</v>
      </c>
      <c r="K30" s="2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5"/>
      <c r="K31" s="2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44</v>
      </c>
      <c r="B32" s="10">
        <f>SUM(B2+B4+B3-B25-E6-G25)</f>
        <v>336.92</v>
      </c>
      <c r="C32" s="2"/>
      <c r="D32" s="2"/>
      <c r="E32" s="2"/>
      <c r="F32" s="2"/>
      <c r="G32" s="2"/>
      <c r="H32" s="2"/>
      <c r="I32" s="23" t="s">
        <v>45</v>
      </c>
      <c r="K32" s="2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6" t="s">
        <v>46</v>
      </c>
      <c r="G33" s="27">
        <f>SUM(B4-G25)</f>
        <v>371.76</v>
      </c>
      <c r="H33" s="2"/>
      <c r="I33" s="25"/>
      <c r="K33" s="2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5"/>
      <c r="K34" s="2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8" t="s">
        <v>15</v>
      </c>
      <c r="G35" s="29">
        <f>SUM(G30+G33)</f>
        <v>831.49</v>
      </c>
      <c r="H35" s="2"/>
      <c r="I35" s="25"/>
      <c r="K35" s="2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5"/>
      <c r="K36" s="2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30"/>
      <c r="J37" s="31"/>
      <c r="K37" s="3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I30:K30"/>
    <mergeCell ref="I31:K31"/>
    <mergeCell ref="I32:K32"/>
    <mergeCell ref="I33:K33"/>
    <mergeCell ref="I34:K34"/>
    <mergeCell ref="I35:K35"/>
    <mergeCell ref="I36:K36"/>
    <mergeCell ref="I37:K37"/>
    <mergeCell ref="A1:B1"/>
    <mergeCell ref="D1:F1"/>
    <mergeCell ref="H1:J1"/>
    <mergeCell ref="A12:D12"/>
    <mergeCell ref="F12:I12"/>
    <mergeCell ref="A28:B28"/>
    <mergeCell ref="I29:K29"/>
  </mergeCells>
  <dataValidations>
    <dataValidation type="list" allowBlank="1" showErrorMessage="1" sqref="D14:D23 I14:I23">
      <formula1>"Pendiente,Pagado"</formula1>
    </dataValidation>
  </dataValidations>
  <drawing r:id="rId1"/>
</worksheet>
</file>