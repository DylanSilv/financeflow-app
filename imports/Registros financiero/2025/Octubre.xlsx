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<sst xmlns="http://schemas.openxmlformats.org/spreadsheetml/2006/main" count="96" uniqueCount="51">
  <si>
    <t xml:space="preserve">Datos Generales </t>
  </si>
  <si>
    <t xml:space="preserve">Gastos Fijos </t>
  </si>
  <si>
    <t>Ahorro</t>
  </si>
  <si>
    <t>Cobro</t>
  </si>
  <si>
    <t>Categorias</t>
  </si>
  <si>
    <t>Monto</t>
  </si>
  <si>
    <t>Fecha de pago</t>
  </si>
  <si>
    <t>Objetivo</t>
  </si>
  <si>
    <t>Fecha de ingreso</t>
  </si>
  <si>
    <t>Celular</t>
  </si>
  <si>
    <t>DD/MM/AAAA</t>
  </si>
  <si>
    <t>Guardado</t>
  </si>
  <si>
    <t>Beneficio</t>
  </si>
  <si>
    <t>Total</t>
  </si>
  <si>
    <t xml:space="preserve">mes pasado </t>
  </si>
  <si>
    <t>Compras Itau</t>
  </si>
  <si>
    <t>Compras Santander</t>
  </si>
  <si>
    <t>NOTAS</t>
  </si>
  <si>
    <t>Cosas</t>
  </si>
  <si>
    <t>Costo</t>
  </si>
  <si>
    <t xml:space="preserve">Fecha de pago </t>
  </si>
  <si>
    <t>Estado</t>
  </si>
  <si>
    <t>Este mes no pague los championes del axel y los mios</t>
  </si>
  <si>
    <t>00/10/2025</t>
  </si>
  <si>
    <t xml:space="preserve">Claro </t>
  </si>
  <si>
    <t>Pagado</t>
  </si>
  <si>
    <t>cuphead (regalo axel)</t>
  </si>
  <si>
    <t xml:space="preserve">Este mes le transferí a mama y perdió la plata </t>
  </si>
  <si>
    <t>comisión del juego</t>
  </si>
  <si>
    <t xml:space="preserve">desodorantes </t>
  </si>
  <si>
    <t>regalo pri (burger king)</t>
  </si>
  <si>
    <t>helados</t>
  </si>
  <si>
    <t>regalo pri (fruta)</t>
  </si>
  <si>
    <t>galletitas</t>
  </si>
  <si>
    <t>pago despues</t>
  </si>
  <si>
    <t>Resumen</t>
  </si>
  <si>
    <t>salida al MC</t>
  </si>
  <si>
    <t xml:space="preserve">Total gastos </t>
  </si>
  <si>
    <t>transferencia (mama)</t>
  </si>
  <si>
    <t>Total ahorros</t>
  </si>
  <si>
    <t>comisión transf</t>
  </si>
  <si>
    <t xml:space="preserve">Disponible </t>
  </si>
  <si>
    <t>coca</t>
  </si>
  <si>
    <t>beldent</t>
  </si>
  <si>
    <t xml:space="preserve">pan leche hamburguesa </t>
  </si>
  <si>
    <t>puesto verduras</t>
  </si>
  <si>
    <t xml:space="preserve">almacén </t>
  </si>
  <si>
    <t>Débito auto</t>
  </si>
  <si>
    <t>Helado</t>
  </si>
  <si>
    <t>Santander</t>
  </si>
  <si>
    <t>Itau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</si>
</sst>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d/mm/yyyy"/>
    <numFmt numFmtId="166" formatCode="d/m/yyyy"/>
  </numFmts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/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2" numFmtId="166" xfId="0" applyAlignment="1" applyFont="1" applyNumberFormat="1">
      <alignment readingOrder="0" vertical="bottom"/>
    </xf>
    <xf borderId="0" fillId="4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5" fontId="2" numFmtId="0" xfId="0" applyAlignment="1" applyFill="1" applyFont="1">
      <alignment readingOrder="0" vertical="bottom"/>
    </xf>
    <xf borderId="0" fillId="6" fontId="2" numFmtId="0" xfId="0" applyAlignment="1" applyFill="1" applyFont="1">
      <alignment readingOrder="0" vertical="bottom"/>
    </xf>
    <xf borderId="0" fillId="6" fontId="1" numFmtId="0" xfId="0" applyAlignment="1" applyFont="1">
      <alignment horizontal="center" readingOrder="0" vertical="bottom"/>
    </xf>
    <xf borderId="0" fillId="5" fontId="1" numFmtId="0" xfId="0" applyAlignment="1" applyFont="1">
      <alignment horizontal="center" readingOrder="0" vertical="bottom"/>
    </xf>
    <xf borderId="1" fillId="3" fontId="1" numFmtId="0" xfId="0" applyAlignment="1" applyBorder="1" applyFont="1">
      <alignment horizontal="center" vertical="bottom"/>
    </xf>
    <xf borderId="2" fillId="0" fontId="5" numFmtId="0" xfId="0" applyBorder="1" applyFont="1"/>
    <xf borderId="3" fillId="0" fontId="5" numFmtId="0" xfId="0" applyBorder="1" applyFont="1"/>
    <xf borderId="4" fillId="0" fontId="2" numFmtId="0" xfId="0" applyAlignment="1" applyBorder="1" applyFont="1">
      <alignment readingOrder="0" vertical="bottom"/>
    </xf>
    <xf borderId="5" fillId="0" fontId="5" numFmtId="0" xfId="0" applyBorder="1" applyFont="1"/>
    <xf borderId="0" fillId="0" fontId="2" numFmtId="0" xfId="0" applyAlignment="1" applyFont="1">
      <alignment readingOrder="0" vertical="bottom"/>
    </xf>
    <xf borderId="4" fillId="0" fontId="2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0" fillId="6" fontId="3" numFmtId="0" xfId="0" applyAlignment="1" applyFont="1">
      <alignment vertical="bottom"/>
    </xf>
    <xf borderId="0" fillId="6" fontId="2" numFmtId="164" xfId="0" applyAlignment="1" applyFont="1" applyNumberFormat="1">
      <alignment horizontal="right" vertical="bottom"/>
    </xf>
    <xf borderId="0" fillId="6" fontId="2" numFmtId="0" xfId="0" applyAlignment="1" applyFont="1">
      <alignment vertical="bottom"/>
    </xf>
    <xf borderId="6" fillId="0" fontId="2" numFmtId="0" xfId="0" applyAlignment="1" applyBorder="1" applyFont="1">
      <alignment vertical="bottom"/>
    </xf>
    <xf borderId="7" fillId="0" fontId="5" numFmtId="0" xfId="0" applyBorder="1" applyFont="1"/>
    <xf borderId="8" fillId="0" fontId="5" numFmtId="0" xfId="0" applyBorder="1" applyFont="1"/>
    <xf borderId="0" fillId="5" fontId="3" numFmtId="0" xfId="0" applyAlignment="1" applyFont="1">
      <alignment vertical="bottom"/>
    </xf>
    <xf borderId="0" fillId="5" fontId="2" numFmtId="164" xfId="0" applyAlignment="1" applyFont="1" applyNumberFormat="1">
      <alignment horizontal="right" vertical="bottom"/>
    </xf>
    <xf borderId="0" fillId="5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/>
      <c r="D1" s="3" t="s">
        <v>1</v>
      </c>
      <c r="G1" s="2"/>
      <c r="H1" s="1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5">
        <v>7744.0</v>
      </c>
      <c r="C2" s="2"/>
      <c r="D2" s="4" t="s">
        <v>4</v>
      </c>
      <c r="E2" s="4" t="s">
        <v>5</v>
      </c>
      <c r="F2" s="4" t="s">
        <v>6</v>
      </c>
      <c r="G2" s="2"/>
      <c r="H2" s="4" t="s">
        <v>7</v>
      </c>
      <c r="I2" s="4" t="s">
        <v>5</v>
      </c>
      <c r="J2" s="4" t="s">
        <v>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8</v>
      </c>
      <c r="B3" s="6">
        <v>45931.0</v>
      </c>
      <c r="C3" s="2"/>
      <c r="D3" s="4" t="s">
        <v>9</v>
      </c>
      <c r="E3" s="7">
        <v>0.0</v>
      </c>
      <c r="F3" s="2" t="s">
        <v>10</v>
      </c>
      <c r="G3" s="2"/>
      <c r="H3" s="4" t="s">
        <v>11</v>
      </c>
      <c r="I3" s="7">
        <v>0.0</v>
      </c>
      <c r="J3" s="2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 t="s">
        <v>12</v>
      </c>
      <c r="B4" s="5">
        <v>1300.0</v>
      </c>
      <c r="C4" s="2"/>
      <c r="D4" s="4"/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8</v>
      </c>
      <c r="B5" s="10">
        <v>45940.0</v>
      </c>
      <c r="C5" s="11"/>
      <c r="D5" s="12" t="s">
        <v>13</v>
      </c>
      <c r="E5" s="13">
        <f>SUM(E3)</f>
        <v>0</v>
      </c>
      <c r="F5" s="1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 t="s">
        <v>14</v>
      </c>
      <c r="B6" s="5">
        <v>1388.27</v>
      </c>
      <c r="C6" s="11"/>
      <c r="D6" s="4"/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 t="s">
        <v>14</v>
      </c>
      <c r="B7" s="5">
        <v>24.08</v>
      </c>
      <c r="C7" s="1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/>
      <c r="B8" s="11"/>
      <c r="C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/>
      <c r="B9" s="11"/>
      <c r="C9" s="1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7" t="s">
        <v>15</v>
      </c>
      <c r="E12" s="2"/>
      <c r="F12" s="18" t="s">
        <v>16</v>
      </c>
      <c r="J12" s="2"/>
      <c r="K12" s="19" t="s">
        <v>17</v>
      </c>
      <c r="L12" s="20"/>
      <c r="M12" s="2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18</v>
      </c>
      <c r="B13" s="4" t="s">
        <v>19</v>
      </c>
      <c r="C13" s="4" t="s">
        <v>20</v>
      </c>
      <c r="D13" s="4" t="s">
        <v>21</v>
      </c>
      <c r="E13" s="2"/>
      <c r="F13" s="4" t="s">
        <v>18</v>
      </c>
      <c r="G13" s="4" t="s">
        <v>19</v>
      </c>
      <c r="H13" s="4" t="s">
        <v>20</v>
      </c>
      <c r="I13" s="4" t="s">
        <v>21</v>
      </c>
      <c r="K13" s="22" t="s">
        <v>22</v>
      </c>
      <c r="M13" s="2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7">
        <v>0.0</v>
      </c>
      <c r="C14" s="24" t="s">
        <v>23</v>
      </c>
      <c r="D14" s="2"/>
      <c r="E14" s="2"/>
      <c r="F14" s="24" t="s">
        <v>24</v>
      </c>
      <c r="G14" s="5">
        <v>1664.06</v>
      </c>
      <c r="H14" s="6">
        <v>45931.0</v>
      </c>
      <c r="I14" s="24" t="s">
        <v>25</v>
      </c>
      <c r="K14" s="25"/>
      <c r="M14" s="2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7">
        <v>0.0</v>
      </c>
      <c r="C15" s="24" t="s">
        <v>23</v>
      </c>
      <c r="D15" s="2"/>
      <c r="E15" s="2"/>
      <c r="F15" s="24" t="s">
        <v>26</v>
      </c>
      <c r="G15" s="5">
        <v>1371.53</v>
      </c>
      <c r="H15" s="6">
        <v>45932.0</v>
      </c>
      <c r="I15" s="24" t="s">
        <v>25</v>
      </c>
      <c r="K15" s="22" t="s">
        <v>27</v>
      </c>
      <c r="M15" s="2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7">
        <v>0.0</v>
      </c>
      <c r="C16" s="24" t="s">
        <v>23</v>
      </c>
      <c r="D16" s="2"/>
      <c r="E16" s="2"/>
      <c r="F16" s="26" t="s">
        <v>28</v>
      </c>
      <c r="G16" s="5">
        <v>41.15</v>
      </c>
      <c r="H16" s="6">
        <v>45932.0</v>
      </c>
      <c r="I16" s="24" t="s">
        <v>25</v>
      </c>
      <c r="K16" s="25"/>
      <c r="M16" s="2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7">
        <v>0.0</v>
      </c>
      <c r="C17" s="24" t="s">
        <v>23</v>
      </c>
      <c r="D17" s="2"/>
      <c r="E17" s="2"/>
      <c r="F17" s="24" t="s">
        <v>29</v>
      </c>
      <c r="G17" s="5">
        <v>557.7</v>
      </c>
      <c r="H17" s="6">
        <v>45933.0</v>
      </c>
      <c r="I17" s="24" t="s">
        <v>25</v>
      </c>
      <c r="K17" s="25"/>
      <c r="M17" s="2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7">
        <v>0.0</v>
      </c>
      <c r="C18" s="24" t="s">
        <v>23</v>
      </c>
      <c r="D18" s="2"/>
      <c r="E18" s="2"/>
      <c r="F18" s="24" t="s">
        <v>30</v>
      </c>
      <c r="G18" s="5">
        <v>430.11</v>
      </c>
      <c r="H18" s="6">
        <v>45934.0</v>
      </c>
      <c r="I18" s="24" t="s">
        <v>25</v>
      </c>
      <c r="K18" s="25"/>
      <c r="M18" s="2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4" t="s">
        <v>31</v>
      </c>
      <c r="G19" s="5">
        <v>91.9</v>
      </c>
      <c r="H19" s="6">
        <v>45934.0</v>
      </c>
      <c r="I19" s="24" t="s">
        <v>25</v>
      </c>
      <c r="K19" s="25"/>
      <c r="M19" s="2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7" t="s">
        <v>13</v>
      </c>
      <c r="B20" s="28">
        <f>SUM(B14:B18)</f>
        <v>0</v>
      </c>
      <c r="C20" s="29"/>
      <c r="D20" s="2"/>
      <c r="E20" s="2"/>
      <c r="F20" s="26" t="s">
        <v>32</v>
      </c>
      <c r="G20" s="5">
        <v>305.66</v>
      </c>
      <c r="H20" s="6">
        <v>45934.0</v>
      </c>
      <c r="I20" s="24" t="s">
        <v>25</v>
      </c>
      <c r="K20" s="30"/>
      <c r="L20" s="31"/>
      <c r="M20" s="3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6" t="s">
        <v>33</v>
      </c>
      <c r="G21" s="5">
        <v>162.3</v>
      </c>
      <c r="H21" s="6">
        <v>45937.0</v>
      </c>
      <c r="I21" s="24" t="s">
        <v>25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6" t="s">
        <v>34</v>
      </c>
      <c r="G22" s="5">
        <v>373.5</v>
      </c>
      <c r="H22" s="6">
        <v>45938.0</v>
      </c>
      <c r="I22" s="24" t="s">
        <v>25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35</v>
      </c>
      <c r="C23" s="2"/>
      <c r="D23" s="2"/>
      <c r="E23" s="2"/>
      <c r="F23" s="26" t="s">
        <v>36</v>
      </c>
      <c r="G23" s="5">
        <v>924.38</v>
      </c>
      <c r="H23" s="6">
        <v>45938.0</v>
      </c>
      <c r="I23" s="24" t="s">
        <v>25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37</v>
      </c>
      <c r="B24" s="7">
        <v>0.0</v>
      </c>
      <c r="C24" s="2"/>
      <c r="D24" s="2"/>
      <c r="E24" s="2"/>
      <c r="F24" s="26" t="s">
        <v>38</v>
      </c>
      <c r="G24" s="5">
        <v>1007.0</v>
      </c>
      <c r="H24" s="6">
        <v>45938.0</v>
      </c>
      <c r="I24" s="24" t="s">
        <v>25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39</v>
      </c>
      <c r="B25" s="7">
        <v>0.0</v>
      </c>
      <c r="C25" s="2"/>
      <c r="D25" s="2"/>
      <c r="E25" s="2"/>
      <c r="F25" s="26" t="s">
        <v>40</v>
      </c>
      <c r="G25" s="5">
        <v>77.33</v>
      </c>
      <c r="H25" s="6">
        <v>45938.0</v>
      </c>
      <c r="I25" s="24" t="s">
        <v>25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6" t="s">
        <v>38</v>
      </c>
      <c r="G26" s="5">
        <v>1007.0</v>
      </c>
      <c r="H26" s="6">
        <v>45938.0</v>
      </c>
      <c r="I26" s="24" t="s">
        <v>25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41</v>
      </c>
      <c r="B27" s="7">
        <f>(B2-E5-B20-B25)</f>
        <v>7744</v>
      </c>
      <c r="C27" s="2"/>
      <c r="D27" s="2"/>
      <c r="E27" s="2"/>
      <c r="F27" s="26" t="s">
        <v>40</v>
      </c>
      <c r="G27" s="5">
        <v>77.33</v>
      </c>
      <c r="H27" s="6">
        <v>45938.0</v>
      </c>
      <c r="I27" s="24" t="s">
        <v>25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6" t="s">
        <v>38</v>
      </c>
      <c r="G28" s="5">
        <v>900.0</v>
      </c>
      <c r="H28" s="6">
        <v>45939.0</v>
      </c>
      <c r="I28" s="24" t="s">
        <v>25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G29" s="5">
        <v>49.18</v>
      </c>
      <c r="H29" s="24" t="s">
        <v>23</v>
      </c>
      <c r="I29" s="24" t="s">
        <v>25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6" t="s">
        <v>42</v>
      </c>
      <c r="G30" s="5">
        <v>93.44</v>
      </c>
      <c r="H30" s="10">
        <v>45943.0</v>
      </c>
      <c r="I30" s="24" t="s">
        <v>25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6" t="s">
        <v>43</v>
      </c>
      <c r="G31" s="5">
        <v>31.48</v>
      </c>
      <c r="H31" s="10">
        <v>45944.0</v>
      </c>
      <c r="I31" s="24" t="s">
        <v>25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6" t="s">
        <v>44</v>
      </c>
      <c r="G32" s="5">
        <v>170.0</v>
      </c>
      <c r="H32" s="10">
        <v>45945.0</v>
      </c>
      <c r="I32" s="24" t="s">
        <v>25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6" t="s">
        <v>45</v>
      </c>
      <c r="G33" s="5">
        <v>135.74</v>
      </c>
      <c r="H33" s="10">
        <v>45951.0</v>
      </c>
      <c r="I33" s="24" t="s">
        <v>25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6" t="s">
        <v>46</v>
      </c>
      <c r="G34" s="5">
        <v>204.59</v>
      </c>
      <c r="H34" s="10">
        <v>45951.0</v>
      </c>
      <c r="I34" s="24" t="s">
        <v>25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6" t="s">
        <v>47</v>
      </c>
      <c r="G35" s="5">
        <v>342.01</v>
      </c>
      <c r="H35" s="10">
        <v>45953.0</v>
      </c>
      <c r="I35" s="24" t="s">
        <v>25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6" t="s">
        <v>47</v>
      </c>
      <c r="G36" s="5">
        <v>180.0</v>
      </c>
      <c r="H36" s="10">
        <v>45953.0</v>
      </c>
      <c r="I36" s="24" t="s">
        <v>25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6" t="s">
        <v>33</v>
      </c>
      <c r="G37" s="5">
        <v>61.97</v>
      </c>
      <c r="H37" s="10">
        <v>45957.0</v>
      </c>
      <c r="I37" s="24" t="s">
        <v>25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6" t="s">
        <v>48</v>
      </c>
      <c r="G38" s="5">
        <v>118.03</v>
      </c>
      <c r="H38" s="10">
        <v>45961.0</v>
      </c>
      <c r="I38" s="24" t="s">
        <v>25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33" t="s">
        <v>13</v>
      </c>
      <c r="G41" s="34">
        <f>SUM(G14:G38)</f>
        <v>10377.39</v>
      </c>
      <c r="H41" s="3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4" t="s">
        <v>49</v>
      </c>
      <c r="H43" s="36">
        <f>SUM(B2+B6-G41+10.95-10.95+B4+0.01)</f>
        <v>54.89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4" t="s">
        <v>50</v>
      </c>
      <c r="H44" s="36">
        <f>SUM(B7-B20)</f>
        <v>24.08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K14:M14"/>
    <mergeCell ref="K15:M15"/>
    <mergeCell ref="K16:M16"/>
    <mergeCell ref="K17:M17"/>
    <mergeCell ref="K18:M18"/>
    <mergeCell ref="K19:M19"/>
    <mergeCell ref="K20:M20"/>
    <mergeCell ref="A23:B23"/>
    <mergeCell ref="A1:B1"/>
    <mergeCell ref="D1:F1"/>
    <mergeCell ref="H1:J1"/>
    <mergeCell ref="A12:D12"/>
    <mergeCell ref="F12:I12"/>
    <mergeCell ref="K12:M12"/>
    <mergeCell ref="K13:M13"/>
  </mergeCells>
  <dataValidations>
    <dataValidation type="list" allowBlank="1" showErrorMessage="1" sqref="D14:D18 I14:I38">
      <formula1>"Pendiente,Pagado"</formula1>
    </dataValidation>
  </dataValidations>
  <drawing r:id="rId1"/>
</worksheet>
</file>