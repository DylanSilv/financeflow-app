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<sst xmlns="http://schemas.openxmlformats.org/spreadsheetml/2006/main" count="84" uniqueCount="52">
  <si>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</si>
  <si>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</si>
  <si>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</si>
  <si>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</si>
  <si>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</si>
  <si>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</si>
  <si>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</si>
  <si>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Objetivo</t>
  </si>
  <si>
    <t>Fecha de ingreso</t>
  </si>
  <si>
    <t>Monopatin</t>
  </si>
  <si>
    <t>DD/MM/AAAA</t>
  </si>
  <si>
    <t>Guardado</t>
  </si>
  <si>
    <t>Gimnasio</t>
  </si>
  <si>
    <t>Total</t>
  </si>
  <si>
    <t>Compras</t>
  </si>
  <si>
    <t>NOTAS</t>
  </si>
  <si>
    <t>Cosas</t>
  </si>
  <si>
    <t>Costo</t>
  </si>
  <si>
    <t xml:space="preserve">Fecha de pago </t>
  </si>
  <si>
    <t>Estado</t>
  </si>
  <si>
    <t>4/6 cuota del monopatin</t>
  </si>
  <si>
    <t>caja de dolce gusto x2</t>
  </si>
  <si>
    <t>Pagado</t>
  </si>
  <si>
    <t>Queso</t>
  </si>
  <si>
    <t>Este mes no pague el celular</t>
  </si>
  <si>
    <t>Fideos</t>
  </si>
  <si>
    <t>Dulce de leche</t>
  </si>
  <si>
    <t>merienda de los gurises</t>
  </si>
  <si>
    <t>yogur y saladix de los gurises</t>
  </si>
  <si>
    <t>alfajores</t>
  </si>
  <si>
    <t>huevos</t>
  </si>
  <si>
    <t>regalo de pri (devolucion)</t>
  </si>
  <si>
    <t>Coca</t>
  </si>
  <si>
    <t>buzo</t>
  </si>
  <si>
    <t xml:space="preserve">regalo kevin </t>
  </si>
  <si>
    <t xml:space="preserve">alfajor </t>
  </si>
  <si>
    <t>Corte de pelo (mitad para billetera)</t>
  </si>
  <si>
    <t>alfajor</t>
  </si>
  <si>
    <t>alfajor y yogur</t>
  </si>
  <si>
    <t xml:space="preserve">comestible para los gurises </t>
  </si>
  <si>
    <t>retiro para gym</t>
  </si>
  <si>
    <t>duele de leche</t>
  </si>
  <si>
    <t>pan</t>
  </si>
  <si>
    <t>yogur y alfajor</t>
  </si>
  <si>
    <t>galletitas</t>
  </si>
  <si>
    <t>Desodorante para pie</t>
  </si>
  <si>
    <t>Alfajores</t>
  </si>
  <si>
    <t>Resumen</t>
  </si>
  <si>
    <t xml:space="preserve">Total gastos </t>
  </si>
  <si>
    <t>Total ahorros</t>
  </si>
  <si>
    <t>Billetera</t>
  </si>
  <si>
    <t xml:space="preserve">Disponible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</si>
</sst>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/m/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4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1" fillId="3" fontId="1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readingOrder="0" vertical="bottom"/>
    </xf>
    <xf borderId="5" fillId="0" fontId="4" numFmtId="0" xfId="0" applyBorder="1" applyFont="1"/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4" fillId="0" fontId="2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6" fillId="0" fontId="2" numFmtId="0" xfId="0" applyAlignment="1" applyBorder="1" applyFont="1">
      <alignment vertical="bottom"/>
    </xf>
    <xf borderId="7" fillId="0" fontId="4" numFmtId="0" xfId="0" applyBorder="1" applyFont="1"/>
    <xf borderId="8" fillId="0" fontId="4" numFmtId="0" xfId="0" applyBorder="1" applyFont="1"/>
    <xf borderId="0" fillId="0" fontId="5" numFmtId="165" xfId="0" applyAlignment="1" applyFont="1" applyNumberForma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10" max="10" width="14.88"/>
  </cols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f>SUM(2312.41+6880+14.1)</f>
        <v>9206.51</v>
      </c>
      <c r="C2" s="2"/>
      <c r="D2" s="4" t="s">
        <v>4</v>
      </c>
      <c r="E2" s="4" t="s">
        <v>5</v>
      </c>
      <c r="F2" s="4" t="s">
        <v>6</v>
      </c>
      <c r="G2" s="2"/>
      <c r="H2" s="4" t="s">
        <v>7</v>
      </c>
      <c r="I2" s="4" t="s">
        <v>5</v>
      </c>
      <c r="J2" s="4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6">
        <v>45779.0</v>
      </c>
      <c r="C3" s="2"/>
      <c r="D3" s="4" t="s">
        <v>9</v>
      </c>
      <c r="E3" s="5">
        <v>1832.0</v>
      </c>
      <c r="F3" s="2" t="s">
        <v>10</v>
      </c>
      <c r="G3" s="2"/>
      <c r="H3" s="4" t="s">
        <v>11</v>
      </c>
      <c r="I3" s="7">
        <v>0.0</v>
      </c>
      <c r="J3" s="2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4" t="s">
        <v>12</v>
      </c>
      <c r="E4" s="5">
        <v>1400.0</v>
      </c>
      <c r="F4" s="2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/>
      <c r="B6" s="8"/>
      <c r="C6" s="8"/>
      <c r="D6" s="9" t="s">
        <v>13</v>
      </c>
      <c r="E6" s="10">
        <f>SUM(E3:E4)</f>
        <v>3232</v>
      </c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/>
      <c r="B7" s="8"/>
      <c r="C7" s="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8"/>
      <c r="C9" s="8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14</v>
      </c>
      <c r="E12" s="2"/>
      <c r="F12" s="2"/>
      <c r="G12" s="2"/>
      <c r="H12" s="2"/>
      <c r="I12" s="12" t="s">
        <v>15</v>
      </c>
      <c r="J12" s="13"/>
      <c r="K12" s="1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16</v>
      </c>
      <c r="B13" s="4" t="s">
        <v>17</v>
      </c>
      <c r="C13" s="4" t="s">
        <v>18</v>
      </c>
      <c r="D13" s="4" t="s">
        <v>19</v>
      </c>
      <c r="E13" s="2"/>
      <c r="F13" s="2"/>
      <c r="G13" s="2"/>
      <c r="I13" s="15" t="s">
        <v>20</v>
      </c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21</v>
      </c>
      <c r="B14" s="5">
        <v>531.15</v>
      </c>
      <c r="C14" s="6">
        <v>45780.0</v>
      </c>
      <c r="D14" s="17" t="s">
        <v>22</v>
      </c>
      <c r="E14" s="2"/>
      <c r="F14" s="2"/>
      <c r="G14" s="18">
        <f>SUM(B2-B44-E3)</f>
        <v>1016.61</v>
      </c>
      <c r="I14" s="19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7" t="s">
        <v>23</v>
      </c>
      <c r="B15" s="5">
        <v>119.8</v>
      </c>
      <c r="C15" s="6">
        <v>45781.0</v>
      </c>
      <c r="D15" s="17" t="s">
        <v>22</v>
      </c>
      <c r="E15" s="2"/>
      <c r="F15" s="2"/>
      <c r="G15" s="2"/>
      <c r="I15" s="15" t="s">
        <v>24</v>
      </c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 t="s">
        <v>25</v>
      </c>
      <c r="B16" s="5">
        <v>42.23</v>
      </c>
      <c r="C16" s="6">
        <v>45781.0</v>
      </c>
      <c r="D16" s="17" t="s">
        <v>22</v>
      </c>
      <c r="E16" s="2"/>
      <c r="F16" s="2"/>
      <c r="G16" s="2"/>
      <c r="I16" s="19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 t="s">
        <v>26</v>
      </c>
      <c r="B17" s="5">
        <v>133.78</v>
      </c>
      <c r="C17" s="6">
        <v>45784.0</v>
      </c>
      <c r="D17" s="17" t="s">
        <v>22</v>
      </c>
      <c r="E17" s="2"/>
      <c r="F17" s="2"/>
      <c r="G17" s="2"/>
      <c r="I17" s="15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" t="s">
        <v>27</v>
      </c>
      <c r="B18" s="5">
        <v>78.69</v>
      </c>
      <c r="C18" s="6">
        <v>45785.0</v>
      </c>
      <c r="D18" s="17" t="s">
        <v>22</v>
      </c>
      <c r="E18" s="2"/>
      <c r="F18" s="2"/>
      <c r="G18" s="2"/>
      <c r="I18" s="19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7" t="s">
        <v>28</v>
      </c>
      <c r="B19" s="5">
        <v>184.92</v>
      </c>
      <c r="C19" s="6">
        <v>45786.0</v>
      </c>
      <c r="D19" s="17" t="s">
        <v>22</v>
      </c>
      <c r="E19" s="2"/>
      <c r="F19" s="2"/>
      <c r="G19" s="2"/>
      <c r="I19" s="19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0" t="s">
        <v>29</v>
      </c>
      <c r="B20" s="5">
        <v>83.61</v>
      </c>
      <c r="C20" s="6">
        <v>45786.0</v>
      </c>
      <c r="D20" s="17" t="s">
        <v>22</v>
      </c>
      <c r="E20" s="2"/>
      <c r="F20" s="2"/>
      <c r="G20" s="2"/>
      <c r="I20" s="21"/>
      <c r="J20" s="22"/>
      <c r="K20" s="2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0" t="s">
        <v>30</v>
      </c>
      <c r="B21" s="5">
        <v>324.59</v>
      </c>
      <c r="C21" s="24">
        <v>45787.0</v>
      </c>
      <c r="D21" s="17" t="s">
        <v>22</v>
      </c>
      <c r="E21" s="2"/>
      <c r="F21" s="2"/>
      <c r="G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0" t="s">
        <v>31</v>
      </c>
      <c r="B22" s="5">
        <v>252.8</v>
      </c>
      <c r="C22" s="24">
        <v>45787.0</v>
      </c>
      <c r="D22" s="17" t="s">
        <v>22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0" t="s">
        <v>32</v>
      </c>
      <c r="B23" s="5">
        <v>46.23</v>
      </c>
      <c r="C23" s="24">
        <v>45789.0</v>
      </c>
      <c r="D23" s="17" t="s">
        <v>22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0" t="s">
        <v>33</v>
      </c>
      <c r="B24" s="5">
        <v>982.62</v>
      </c>
      <c r="C24" s="24">
        <v>45788.0</v>
      </c>
      <c r="D24" s="17" t="s">
        <v>22</v>
      </c>
      <c r="E24" s="2"/>
      <c r="F24" s="2"/>
      <c r="G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0" t="s">
        <v>34</v>
      </c>
      <c r="B25" s="5">
        <v>597.06</v>
      </c>
      <c r="C25" s="24">
        <v>45789.0</v>
      </c>
      <c r="D25" s="17" t="s">
        <v>22</v>
      </c>
      <c r="E25" s="2"/>
      <c r="F25" s="2"/>
      <c r="G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0" t="s">
        <v>35</v>
      </c>
      <c r="B26" s="5">
        <v>34.43</v>
      </c>
      <c r="C26" s="24">
        <v>45789.0</v>
      </c>
      <c r="D26" s="17" t="s">
        <v>22</v>
      </c>
      <c r="E26" s="2"/>
      <c r="F26" s="2"/>
      <c r="G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0" t="s">
        <v>36</v>
      </c>
      <c r="B27" s="5">
        <v>1000.0</v>
      </c>
      <c r="C27" s="24">
        <v>45790.0</v>
      </c>
      <c r="D27" s="17" t="s">
        <v>22</v>
      </c>
      <c r="E27" s="2"/>
      <c r="F27" s="2"/>
      <c r="G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0" t="s">
        <v>37</v>
      </c>
      <c r="B28" s="5">
        <v>34.43</v>
      </c>
      <c r="C28" s="24">
        <v>45792.0</v>
      </c>
      <c r="D28" s="17" t="s">
        <v>22</v>
      </c>
      <c r="E28" s="2"/>
      <c r="F28" s="2"/>
      <c r="G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0" t="s">
        <v>38</v>
      </c>
      <c r="B29" s="5">
        <v>93.45</v>
      </c>
      <c r="C29" s="24">
        <v>45793.0</v>
      </c>
      <c r="D29" s="17" t="s">
        <v>22</v>
      </c>
      <c r="E29" s="2"/>
      <c r="F29" s="2"/>
      <c r="G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0" t="s">
        <v>39</v>
      </c>
      <c r="B30" s="5">
        <v>80.66</v>
      </c>
      <c r="C30" s="24">
        <v>45793.0</v>
      </c>
      <c r="D30" s="17" t="s">
        <v>22</v>
      </c>
      <c r="E30" s="2"/>
      <c r="F30" s="2"/>
      <c r="G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0" t="s">
        <v>40</v>
      </c>
      <c r="B31" s="5">
        <v>1000.0</v>
      </c>
      <c r="C31" s="24">
        <v>45795.0</v>
      </c>
      <c r="D31" s="17" t="s">
        <v>22</v>
      </c>
      <c r="E31" s="2"/>
      <c r="F31" s="2"/>
      <c r="G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0" t="s">
        <v>41</v>
      </c>
      <c r="B32" s="5">
        <v>120.0</v>
      </c>
      <c r="C32" s="24">
        <v>45795.0</v>
      </c>
      <c r="D32" s="17" t="s">
        <v>22</v>
      </c>
      <c r="E32" s="2"/>
      <c r="F32" s="2"/>
      <c r="G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0" t="s">
        <v>42</v>
      </c>
      <c r="B33" s="5">
        <v>146.3</v>
      </c>
      <c r="C33" s="24">
        <v>45795.0</v>
      </c>
      <c r="D33" s="17" t="s">
        <v>22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0" t="s">
        <v>43</v>
      </c>
      <c r="B34" s="5">
        <v>91.48</v>
      </c>
      <c r="C34" s="24">
        <v>45802.0</v>
      </c>
      <c r="D34" s="17" t="s">
        <v>22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0" t="s">
        <v>44</v>
      </c>
      <c r="B35" s="5">
        <v>55.08</v>
      </c>
      <c r="C35" s="24">
        <v>45804.0</v>
      </c>
      <c r="D35" s="17" t="s">
        <v>22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0" t="s">
        <v>35</v>
      </c>
      <c r="B36" s="5">
        <v>30.49</v>
      </c>
      <c r="C36" s="24">
        <v>45806.0</v>
      </c>
      <c r="D36" s="17" t="s">
        <v>22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0" t="s">
        <v>30</v>
      </c>
      <c r="B37" s="5">
        <v>294.1</v>
      </c>
      <c r="C37" s="24">
        <v>45806.0</v>
      </c>
      <c r="D37" s="17" t="s">
        <v>22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0" t="s">
        <v>45</v>
      </c>
      <c r="B42" s="5">
        <v>245.0</v>
      </c>
      <c r="C42" s="6">
        <v>45780.0</v>
      </c>
      <c r="D42" s="17" t="s">
        <v>22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7" t="s">
        <v>46</v>
      </c>
      <c r="B43" s="5">
        <v>82.0</v>
      </c>
      <c r="C43" s="6">
        <v>45780.0</v>
      </c>
      <c r="D43" s="17" t="s">
        <v>22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9" t="s">
        <v>13</v>
      </c>
      <c r="B44" s="10">
        <f>SUM(B14:B40)</f>
        <v>6357.9</v>
      </c>
      <c r="C44" s="1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47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s">
        <v>48</v>
      </c>
      <c r="B48" s="7">
        <f>SUM(B44+E6)</f>
        <v>9589.9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s">
        <v>49</v>
      </c>
      <c r="B49" s="7">
        <f>SUM(I3)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5" t="s">
        <v>50</v>
      </c>
      <c r="B50" s="5">
        <v>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s">
        <v>51</v>
      </c>
      <c r="B51" s="7">
        <f>(B2-E6-B44-B49+B50)</f>
        <v>-383.39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I15:K15"/>
    <mergeCell ref="I16:K16"/>
    <mergeCell ref="I17:K17"/>
    <mergeCell ref="I18:K18"/>
    <mergeCell ref="I19:K19"/>
    <mergeCell ref="I20:K20"/>
    <mergeCell ref="A47:B47"/>
    <mergeCell ref="A1:B1"/>
    <mergeCell ref="D1:F1"/>
    <mergeCell ref="H1:J1"/>
    <mergeCell ref="A12:D12"/>
    <mergeCell ref="I12:K12"/>
    <mergeCell ref="I13:K13"/>
    <mergeCell ref="I14:K14"/>
  </mergeCells>
  <dataValidations>
    <dataValidation type="list" allowBlank="1" showErrorMessage="1" sqref="D14:D37 D42:D43">
      <formula1>"Pendiente,Pagado"</formula1>
    </dataValidation>
  </dataValidations>
  <drawing r:id="rId1"/>
</worksheet>
</file>