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<sst xmlns="http://schemas.openxmlformats.org/spreadsheetml/2006/main" count="164" uniqueCount="79">
  <si>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</si>
  <si>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</si>
  <si>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</si>
  <si>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</si>
  <si>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</si>
  <si>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</si>
  <si>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</si>
  <si>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</si>
  <si>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</si>
  <si>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Celular</t>
  </si>
  <si>
    <t>DD/MM/AAAA</t>
  </si>
  <si>
    <t>Guardado</t>
  </si>
  <si>
    <t xml:space="preserve">Beneficio </t>
  </si>
  <si>
    <t>Itau</t>
  </si>
  <si>
    <t>Total</t>
  </si>
  <si>
    <t>Santander</t>
  </si>
  <si>
    <t>LIQUIDACION</t>
  </si>
  <si>
    <t>Compras Itau</t>
  </si>
  <si>
    <t xml:space="preserve">Compras Santander </t>
  </si>
  <si>
    <t>NOTAS</t>
  </si>
  <si>
    <t>Cosas</t>
  </si>
  <si>
    <t>Costo</t>
  </si>
  <si>
    <t xml:space="preserve">Fecha de pago </t>
  </si>
  <si>
    <t>Estado</t>
  </si>
  <si>
    <t>cuota de championes (Dylan) 2/2</t>
  </si>
  <si>
    <t xml:space="preserve">cena </t>
  </si>
  <si>
    <t>Pagado</t>
  </si>
  <si>
    <t>coca</t>
  </si>
  <si>
    <t>cuotas de championes (axel) 3/6</t>
  </si>
  <si>
    <t>cena</t>
  </si>
  <si>
    <t>Pago tarjeta credito</t>
  </si>
  <si>
    <t>colet y alfajor</t>
  </si>
  <si>
    <t>Claro celulares</t>
  </si>
  <si>
    <t>Paog de prestamo Creditel.   1/7</t>
  </si>
  <si>
    <t>galletas</t>
  </si>
  <si>
    <t>helados</t>
  </si>
  <si>
    <t>Pago de prestamo PagoDespues.  1/6</t>
  </si>
  <si>
    <t xml:space="preserve">reparación mono </t>
  </si>
  <si>
    <t xml:space="preserve">comisión redpagos </t>
  </si>
  <si>
    <t>Pago del claro</t>
  </si>
  <si>
    <t>cerveza</t>
  </si>
  <si>
    <t>Cuotas championes kevin</t>
  </si>
  <si>
    <t>00/11/2025</t>
  </si>
  <si>
    <t xml:space="preserve">comisión trans kevin </t>
  </si>
  <si>
    <t xml:space="preserve">mamá me devolvió 1000 de las cenas </t>
  </si>
  <si>
    <t xml:space="preserve">coca y cervezas </t>
  </si>
  <si>
    <t xml:space="preserve">galletitas </t>
  </si>
  <si>
    <t>hamburguesa sh</t>
  </si>
  <si>
    <t>taxi</t>
  </si>
  <si>
    <t>Prestamo Cred</t>
  </si>
  <si>
    <t>Prestamo PagDe</t>
  </si>
  <si>
    <t>desodorante pie</t>
  </si>
  <si>
    <t>Claro</t>
  </si>
  <si>
    <t xml:space="preserve">taxi </t>
  </si>
  <si>
    <t>Karting</t>
  </si>
  <si>
    <t>Resumen</t>
  </si>
  <si>
    <t>Regalo Papa</t>
  </si>
  <si>
    <t xml:space="preserve">Total gastos </t>
  </si>
  <si>
    <t>pesi</t>
  </si>
  <si>
    <t>Asado</t>
  </si>
  <si>
    <t>Total ahorros</t>
  </si>
  <si>
    <t>Antel</t>
  </si>
  <si>
    <t>pan</t>
  </si>
  <si>
    <t>pantalon</t>
  </si>
  <si>
    <t xml:space="preserve">Disponible </t>
  </si>
  <si>
    <t>Descuento Sant</t>
  </si>
  <si>
    <t>camisa</t>
  </si>
  <si>
    <t>chori</t>
  </si>
  <si>
    <t>asado</t>
  </si>
  <si>
    <t>ropa gradu</t>
  </si>
  <si>
    <t>regalo papá (mate)</t>
  </si>
  <si>
    <t>Sprite y rueditas</t>
  </si>
  <si>
    <t>papas fritas (cena)</t>
  </si>
  <si>
    <t xml:space="preserve">Karitng </t>
  </si>
  <si>
    <t xml:space="preserve">atún </t>
  </si>
  <si>
    <t>Préstamo PD</t>
  </si>
  <si>
    <t>karting</t>
  </si>
  <si>
    <t>comisión trans</t>
  </si>
  <si>
    <t xml:space="preserve">Santander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</si>
</sst>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2" numFmtId="164" xfId="0" applyAlignment="1" applyFont="1" applyNumberFormat="1">
      <alignment vertical="bottom"/>
    </xf>
    <xf borderId="0" fillId="3" fontId="1" numFmtId="0" xfId="0" applyAlignment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readingOrder="0" vertical="bottom"/>
    </xf>
    <xf borderId="5" fillId="0" fontId="4" numFmtId="0" xfId="0" applyBorder="1" applyFont="1"/>
    <xf borderId="4" fillId="0" fontId="2" numFmtId="0" xfId="0" applyAlignment="1" applyBorder="1" applyFont="1">
      <alignment vertical="bottom"/>
    </xf>
    <xf borderId="0" fillId="0" fontId="2" numFmtId="166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6" fillId="0" fontId="2" numFmtId="0" xfId="0" applyAlignment="1" applyBorder="1" applyFont="1">
      <alignment readingOrder="0" vertical="bottom"/>
    </xf>
    <xf borderId="7" fillId="0" fontId="4" numFmtId="0" xfId="0" applyBorder="1" applyFont="1"/>
    <xf borderId="8" fillId="0" fontId="4" numFmtId="0" xfId="0" applyBorder="1" applyFont="1"/>
    <xf borderId="0" fillId="2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7744.0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>
        <v>45964.0</v>
      </c>
      <c r="C3" s="2"/>
      <c r="D3" s="4" t="s">
        <v>9</v>
      </c>
      <c r="E3" s="7">
        <v>0.0</v>
      </c>
      <c r="F3" s="2" t="s">
        <v>10</v>
      </c>
      <c r="G3" s="2"/>
      <c r="H3" s="4" t="s">
        <v>11</v>
      </c>
      <c r="I3" s="7">
        <v>0.0</v>
      </c>
      <c r="J3" s="2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12</v>
      </c>
      <c r="B4" s="5">
        <v>1300.0</v>
      </c>
      <c r="C4" s="2"/>
      <c r="D4" s="4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13</v>
      </c>
      <c r="B5" s="5">
        <v>24.08</v>
      </c>
      <c r="C5" s="10"/>
      <c r="D5" s="11" t="s">
        <v>14</v>
      </c>
      <c r="E5" s="12">
        <f>SUM(E3)</f>
        <v>0</v>
      </c>
      <c r="F5" s="1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15</v>
      </c>
      <c r="B6" s="5">
        <v>54.89</v>
      </c>
      <c r="C6" s="10"/>
      <c r="D6" s="4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10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16</v>
      </c>
      <c r="B8" s="5">
        <v>14874.0</v>
      </c>
      <c r="C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14</v>
      </c>
      <c r="B9" s="15">
        <f>SUM(B2+B4+B5+B6+B8)</f>
        <v>23996.97</v>
      </c>
      <c r="C9" s="1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17</v>
      </c>
      <c r="E12" s="2"/>
      <c r="F12" s="16" t="s">
        <v>18</v>
      </c>
      <c r="J12" s="2"/>
      <c r="K12" s="17" t="s">
        <v>19</v>
      </c>
      <c r="L12" s="18"/>
      <c r="M12" s="1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20</v>
      </c>
      <c r="B13" s="4" t="s">
        <v>21</v>
      </c>
      <c r="C13" s="4" t="s">
        <v>22</v>
      </c>
      <c r="D13" s="4" t="s">
        <v>23</v>
      </c>
      <c r="E13" s="2"/>
      <c r="F13" s="4" t="s">
        <v>20</v>
      </c>
      <c r="G13" s="4" t="s">
        <v>21</v>
      </c>
      <c r="H13" s="4" t="s">
        <v>22</v>
      </c>
      <c r="I13" s="4" t="s">
        <v>23</v>
      </c>
      <c r="K13" s="20" t="s">
        <v>24</v>
      </c>
      <c r="M13" s="2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25</v>
      </c>
      <c r="B14" s="5">
        <v>526.0</v>
      </c>
      <c r="C14" s="6">
        <v>45992.0</v>
      </c>
      <c r="D14" s="8" t="s">
        <v>26</v>
      </c>
      <c r="E14" s="2"/>
      <c r="F14" s="8" t="s">
        <v>27</v>
      </c>
      <c r="G14" s="5">
        <v>93.44</v>
      </c>
      <c r="H14" s="6">
        <v>45964.0</v>
      </c>
      <c r="I14" s="8" t="s">
        <v>26</v>
      </c>
      <c r="K14" s="20" t="s">
        <v>28</v>
      </c>
      <c r="M14" s="2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29</v>
      </c>
      <c r="B15" s="5">
        <v>515.41</v>
      </c>
      <c r="C15" s="6">
        <v>45993.0</v>
      </c>
      <c r="D15" s="8" t="s">
        <v>26</v>
      </c>
      <c r="E15" s="2"/>
      <c r="F15" s="8" t="s">
        <v>30</v>
      </c>
      <c r="G15" s="5">
        <v>1274.6</v>
      </c>
      <c r="H15" s="6">
        <v>45966.0</v>
      </c>
      <c r="I15" s="8" t="s">
        <v>26</v>
      </c>
      <c r="K15" s="22"/>
      <c r="M15" s="2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31</v>
      </c>
      <c r="B16" s="5">
        <v>80.66</v>
      </c>
      <c r="C16" s="6">
        <v>45994.0</v>
      </c>
      <c r="D16" s="8" t="s">
        <v>26</v>
      </c>
      <c r="E16" s="2"/>
      <c r="F16" s="8" t="s">
        <v>32</v>
      </c>
      <c r="G16" s="5">
        <v>1921.44</v>
      </c>
      <c r="H16" s="6">
        <v>45968.0</v>
      </c>
      <c r="I16" s="8" t="s">
        <v>26</v>
      </c>
      <c r="K16" s="20" t="s">
        <v>33</v>
      </c>
      <c r="M16" s="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34</v>
      </c>
      <c r="B17" s="5">
        <v>169.0</v>
      </c>
      <c r="C17" s="6">
        <v>45994.0</v>
      </c>
      <c r="D17" s="8" t="s">
        <v>26</v>
      </c>
      <c r="E17" s="2"/>
      <c r="F17" s="8" t="s">
        <v>35</v>
      </c>
      <c r="G17" s="5">
        <v>185.25</v>
      </c>
      <c r="H17" s="6">
        <v>45969.0</v>
      </c>
      <c r="I17" s="8" t="s">
        <v>26</v>
      </c>
      <c r="K17" s="20" t="s">
        <v>36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37</v>
      </c>
      <c r="B18" s="5">
        <v>688.52</v>
      </c>
      <c r="C18" s="6">
        <v>45995.0</v>
      </c>
      <c r="D18" s="8" t="s">
        <v>26</v>
      </c>
      <c r="E18" s="2"/>
      <c r="F18" s="8" t="s">
        <v>38</v>
      </c>
      <c r="G18" s="5">
        <v>6.72</v>
      </c>
      <c r="H18" s="23">
        <v>45971.0</v>
      </c>
      <c r="I18" s="8" t="s">
        <v>26</v>
      </c>
      <c r="K18" s="20" t="s">
        <v>39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40</v>
      </c>
      <c r="B19" s="5">
        <v>55.0</v>
      </c>
      <c r="C19" s="24">
        <v>45995.0</v>
      </c>
      <c r="D19" s="8" t="s">
        <v>26</v>
      </c>
      <c r="E19" s="2"/>
      <c r="F19" s="8" t="s">
        <v>41</v>
      </c>
      <c r="G19" s="5">
        <v>2291.0</v>
      </c>
      <c r="H19" s="23">
        <v>45972.0</v>
      </c>
      <c r="I19" s="8" t="s">
        <v>26</v>
      </c>
      <c r="K19" s="22"/>
      <c r="M19" s="2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5">
        <v>0.0</v>
      </c>
      <c r="C20" s="25" t="s">
        <v>42</v>
      </c>
      <c r="D20" s="8" t="s">
        <v>26</v>
      </c>
      <c r="E20" s="2"/>
      <c r="F20" s="26" t="s">
        <v>43</v>
      </c>
      <c r="G20" s="5">
        <v>76.76</v>
      </c>
      <c r="H20" s="23">
        <v>45972.0</v>
      </c>
      <c r="I20" s="8" t="s">
        <v>26</v>
      </c>
      <c r="K20" s="27" t="s">
        <v>44</v>
      </c>
      <c r="L20" s="28"/>
      <c r="M20" s="2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5">
        <v>0.0</v>
      </c>
      <c r="C21" s="25" t="s">
        <v>42</v>
      </c>
      <c r="D21" s="8" t="s">
        <v>26</v>
      </c>
      <c r="E21" s="2"/>
      <c r="F21" s="26" t="s">
        <v>45</v>
      </c>
      <c r="G21" s="5">
        <v>319.67</v>
      </c>
      <c r="H21" s="23">
        <v>45975.0</v>
      </c>
      <c r="I21" s="8" t="s">
        <v>26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5">
        <v>0.0</v>
      </c>
      <c r="C22" s="25" t="s">
        <v>42</v>
      </c>
      <c r="D22" s="8" t="s">
        <v>26</v>
      </c>
      <c r="E22" s="2"/>
      <c r="F22" s="26" t="s">
        <v>46</v>
      </c>
      <c r="G22" s="5">
        <v>55.08</v>
      </c>
      <c r="H22" s="23">
        <v>45975.0</v>
      </c>
      <c r="I22" s="8" t="s">
        <v>26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5">
        <v>0.0</v>
      </c>
      <c r="C23" s="25" t="s">
        <v>42</v>
      </c>
      <c r="D23" s="8" t="s">
        <v>26</v>
      </c>
      <c r="E23" s="2"/>
      <c r="F23" s="26" t="s">
        <v>47</v>
      </c>
      <c r="G23" s="5">
        <v>96.39</v>
      </c>
      <c r="H23" s="23">
        <v>45975.0</v>
      </c>
      <c r="I23" s="8" t="s">
        <v>26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D24" s="2"/>
      <c r="E24" s="2"/>
      <c r="F24" s="26" t="s">
        <v>48</v>
      </c>
      <c r="G24" s="5">
        <v>558.69</v>
      </c>
      <c r="H24" s="23">
        <v>45976.0</v>
      </c>
      <c r="I24" s="8" t="s">
        <v>26</v>
      </c>
      <c r="K24" s="8" t="s">
        <v>49</v>
      </c>
      <c r="L24" s="8">
        <v>2154.0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14</v>
      </c>
      <c r="B25" s="12">
        <f>SUM(B14:B23)</f>
        <v>2034.59</v>
      </c>
      <c r="C25" s="13"/>
      <c r="D25" s="2"/>
      <c r="E25" s="2"/>
      <c r="F25" s="26" t="s">
        <v>48</v>
      </c>
      <c r="G25" s="5">
        <v>522.29</v>
      </c>
      <c r="H25" s="23">
        <v>45976.0</v>
      </c>
      <c r="I25" s="8" t="s">
        <v>26</v>
      </c>
      <c r="K25" s="30" t="s">
        <v>50</v>
      </c>
      <c r="L25" s="8">
        <v>2122.0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6" t="s">
        <v>51</v>
      </c>
      <c r="G26" s="5">
        <v>319.67</v>
      </c>
      <c r="H26" s="23">
        <v>45977.0</v>
      </c>
      <c r="I26" s="8" t="s">
        <v>26</v>
      </c>
      <c r="K26" s="30" t="s">
        <v>52</v>
      </c>
      <c r="L26" s="8">
        <v>2000.0</v>
      </c>
      <c r="M26" s="2">
        <f>SUM(L24:L27)</f>
        <v>7876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6" t="s">
        <v>53</v>
      </c>
      <c r="G27" s="5">
        <v>439.67</v>
      </c>
      <c r="H27" s="23">
        <v>45978.0</v>
      </c>
      <c r="I27" s="8" t="s">
        <v>26</v>
      </c>
      <c r="K27" s="30" t="s">
        <v>54</v>
      </c>
      <c r="L27" s="8">
        <v>1600.0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55</v>
      </c>
      <c r="C28" s="2"/>
      <c r="D28" s="2"/>
      <c r="E28" s="2"/>
      <c r="F28" s="26" t="s">
        <v>27</v>
      </c>
      <c r="G28" s="5">
        <v>152.83</v>
      </c>
      <c r="H28" s="23">
        <v>45979.0</v>
      </c>
      <c r="I28" s="8" t="s">
        <v>26</v>
      </c>
      <c r="K28" s="30" t="s">
        <v>56</v>
      </c>
      <c r="L28" s="8">
        <v>690.0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57</v>
      </c>
      <c r="B29" s="7">
        <v>0.0</v>
      </c>
      <c r="C29" s="2"/>
      <c r="D29" s="2"/>
      <c r="E29" s="2"/>
      <c r="F29" s="26" t="s">
        <v>58</v>
      </c>
      <c r="G29" s="5">
        <v>137.7</v>
      </c>
      <c r="H29" s="23">
        <v>45980.0</v>
      </c>
      <c r="I29" s="8" t="s">
        <v>26</v>
      </c>
      <c r="K29" s="30" t="s">
        <v>59</v>
      </c>
      <c r="L29" s="26">
        <v>1700.0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60</v>
      </c>
      <c r="B30" s="7">
        <v>0.0</v>
      </c>
      <c r="C30" s="2"/>
      <c r="D30" s="2"/>
      <c r="E30" s="2"/>
      <c r="F30" s="26" t="s">
        <v>48</v>
      </c>
      <c r="G30" s="5">
        <v>421.97</v>
      </c>
      <c r="H30" s="23">
        <v>45980.0</v>
      </c>
      <c r="I30" s="8" t="s">
        <v>26</v>
      </c>
      <c r="K30" s="30" t="s">
        <v>61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6" t="s">
        <v>62</v>
      </c>
      <c r="G31" s="5">
        <v>90.0</v>
      </c>
      <c r="H31" s="23">
        <v>45980.0</v>
      </c>
      <c r="I31" s="8" t="s">
        <v>26</v>
      </c>
      <c r="K31" s="30" t="s">
        <v>63</v>
      </c>
      <c r="L31" s="26">
        <v>550.0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64</v>
      </c>
      <c r="B32" s="7">
        <f>(B2-E5-B25-B30)</f>
        <v>5709.41</v>
      </c>
      <c r="C32" s="2"/>
      <c r="D32" s="2"/>
      <c r="E32" s="2"/>
      <c r="F32" s="26" t="s">
        <v>65</v>
      </c>
      <c r="G32" s="5">
        <v>342.01</v>
      </c>
      <c r="H32" s="23">
        <v>45986.0</v>
      </c>
      <c r="I32" s="8" t="s">
        <v>26</v>
      </c>
      <c r="K32" s="30" t="s">
        <v>66</v>
      </c>
      <c r="L32" s="26">
        <v>1100.0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6" t="s">
        <v>65</v>
      </c>
      <c r="G33" s="5">
        <v>180.0</v>
      </c>
      <c r="H33" s="23">
        <v>45986.0</v>
      </c>
      <c r="I33" s="8" t="s">
        <v>26</v>
      </c>
      <c r="K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6" t="s">
        <v>67</v>
      </c>
      <c r="G34" s="5">
        <v>562.63</v>
      </c>
      <c r="H34" s="23">
        <v>45986.0</v>
      </c>
      <c r="I34" s="8" t="s">
        <v>26</v>
      </c>
      <c r="K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6" t="s">
        <v>68</v>
      </c>
      <c r="G35" s="5">
        <v>1000.0</v>
      </c>
      <c r="H35" s="23">
        <v>45986.0</v>
      </c>
      <c r="I35" s="8" t="s">
        <v>26</v>
      </c>
      <c r="K35" s="2"/>
      <c r="L35" s="2">
        <f>SUM(L24:L32)</f>
        <v>11916</v>
      </c>
      <c r="M35" s="8">
        <v>14487.71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6" t="s">
        <v>27</v>
      </c>
      <c r="G36" s="5">
        <v>130.0</v>
      </c>
      <c r="H36" s="23">
        <v>45986.0</v>
      </c>
      <c r="I36" s="8" t="s">
        <v>26</v>
      </c>
      <c r="K36" s="2"/>
      <c r="L36" s="2"/>
      <c r="M36" s="2">
        <f>SUM(M35-L35)</f>
        <v>2571.71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6" t="s">
        <v>69</v>
      </c>
      <c r="G37" s="5">
        <v>1631.8</v>
      </c>
      <c r="H37" s="23">
        <v>45987.0</v>
      </c>
      <c r="I37" s="8" t="s">
        <v>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6" t="s">
        <v>70</v>
      </c>
      <c r="G38" s="5">
        <v>678.69</v>
      </c>
      <c r="H38" s="23">
        <v>45987.0</v>
      </c>
      <c r="I38" s="8" t="s">
        <v>26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6" t="s">
        <v>71</v>
      </c>
      <c r="G39" s="5">
        <v>159.34</v>
      </c>
      <c r="H39" s="23">
        <v>45987.0</v>
      </c>
      <c r="I39" s="8" t="s">
        <v>26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6" t="s">
        <v>72</v>
      </c>
      <c r="G40" s="5">
        <v>180.0</v>
      </c>
      <c r="H40" s="23">
        <v>45987.0</v>
      </c>
      <c r="I40" s="8" t="s">
        <v>26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6" t="s">
        <v>73</v>
      </c>
      <c r="G41" s="5">
        <v>500.0</v>
      </c>
      <c r="H41" s="23">
        <v>45988.0</v>
      </c>
      <c r="I41" s="8" t="s">
        <v>26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6" t="s">
        <v>74</v>
      </c>
      <c r="G42" s="5">
        <v>47.26</v>
      </c>
      <c r="H42" s="23">
        <v>45988.0</v>
      </c>
      <c r="I42" s="8" t="s">
        <v>26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6" t="s">
        <v>75</v>
      </c>
      <c r="G43" s="5">
        <v>2121.15</v>
      </c>
      <c r="H43" s="23">
        <v>45989.0</v>
      </c>
      <c r="I43" s="8" t="s">
        <v>26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6" t="s">
        <v>52</v>
      </c>
      <c r="G44" s="5">
        <v>1967.22</v>
      </c>
      <c r="H44" s="23">
        <v>45989.0</v>
      </c>
      <c r="I44" s="8" t="s">
        <v>26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8" t="s">
        <v>76</v>
      </c>
      <c r="G45" s="5">
        <v>1100.0</v>
      </c>
      <c r="H45" s="23">
        <v>45989.0</v>
      </c>
      <c r="I45" s="8" t="s">
        <v>26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8" t="s">
        <v>77</v>
      </c>
      <c r="G46" s="5">
        <v>76.1</v>
      </c>
      <c r="H46" s="23">
        <v>45989.0</v>
      </c>
      <c r="I46" s="8" t="s">
        <v>26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8" t="s">
        <v>77</v>
      </c>
      <c r="G47" s="5">
        <v>76.1</v>
      </c>
      <c r="H47" s="25" t="s">
        <v>42</v>
      </c>
      <c r="I47" s="8" t="s">
        <v>26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G48" s="5">
        <v>0.0</v>
      </c>
      <c r="H48" s="25" t="s">
        <v>42</v>
      </c>
      <c r="I48" s="8" t="s">
        <v>26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G49" s="5">
        <v>0.0</v>
      </c>
      <c r="H49" s="25" t="s">
        <v>42</v>
      </c>
      <c r="I49" s="8" t="s">
        <v>26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G50" s="5">
        <v>0.0</v>
      </c>
      <c r="H50" s="25" t="s">
        <v>42</v>
      </c>
      <c r="I50" s="8" t="s">
        <v>26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G51" s="5">
        <v>0.0</v>
      </c>
      <c r="H51" s="25" t="s">
        <v>42</v>
      </c>
      <c r="I51" s="8" t="s">
        <v>26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G52" s="5">
        <v>0.0</v>
      </c>
      <c r="H52" s="25" t="s">
        <v>42</v>
      </c>
      <c r="I52" s="8" t="s">
        <v>26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G53" s="5">
        <v>0.0</v>
      </c>
      <c r="H53" s="25" t="s">
        <v>42</v>
      </c>
      <c r="I53" s="8" t="s">
        <v>26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G54" s="5">
        <v>0.0</v>
      </c>
      <c r="H54" s="25" t="s">
        <v>42</v>
      </c>
      <c r="I54" s="8" t="s">
        <v>26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G55" s="5">
        <v>0.0</v>
      </c>
      <c r="H55" s="25" t="s">
        <v>42</v>
      </c>
      <c r="I55" s="8" t="s">
        <v>26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G56" s="5">
        <v>0.0</v>
      </c>
      <c r="H56" s="25" t="s">
        <v>42</v>
      </c>
      <c r="I56" s="8" t="s">
        <v>26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5">
        <v>0.0</v>
      </c>
      <c r="H57" s="25" t="s">
        <v>42</v>
      </c>
      <c r="I57" s="8" t="s">
        <v>26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11" t="s">
        <v>14</v>
      </c>
      <c r="G59" s="12">
        <f>SUM(G14:G57)</f>
        <v>19715.47</v>
      </c>
      <c r="H59" s="1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8" t="s">
        <v>78</v>
      </c>
      <c r="G62" s="31">
        <f>SUM(B5)</f>
        <v>24.08</v>
      </c>
      <c r="H62" s="2"/>
      <c r="I62" s="31">
        <f>SUM(G63-L24)</f>
        <v>1098.64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8" t="s">
        <v>13</v>
      </c>
      <c r="G63" s="31">
        <f>SUM(B6+B2+B4-G59+B8+29.81-B25+1000)</f>
        <v>3252.64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K14:M14"/>
    <mergeCell ref="K15:M15"/>
    <mergeCell ref="K16:M16"/>
    <mergeCell ref="K17:M17"/>
    <mergeCell ref="K18:M18"/>
    <mergeCell ref="K19:M19"/>
    <mergeCell ref="K20:M20"/>
    <mergeCell ref="A28:B28"/>
    <mergeCell ref="A1:B1"/>
    <mergeCell ref="D1:F1"/>
    <mergeCell ref="H1:J1"/>
    <mergeCell ref="A12:D12"/>
    <mergeCell ref="F12:I12"/>
    <mergeCell ref="K12:M12"/>
    <mergeCell ref="K13:M13"/>
  </mergeCells>
  <dataValidations>
    <dataValidation type="list" allowBlank="1" showErrorMessage="1" sqref="D14:D23 I14:I57">
      <formula1>"Pendiente,Pagado"</formula1>
    </dataValidation>
  </dataValidations>
  <drawing r:id="rId1"/>
</worksheet>
</file>