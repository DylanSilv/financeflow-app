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name="OPERRAR">LAMBDA(SUM('Hoja 1'!$B$2+'Hoja 1'!$B$4-'Hoja 1'!$B$14))</definedName>
  </definedNames>
  <calcPr/>
</workbook>
</file>

<file path=xl/sharedStrings.xml><?xml version="1.0" encoding="utf-8"?>
<sst xmlns="http://schemas.openxmlformats.org/spreadsheetml/2006/main" count="68" uniqueCount="45">
  <si>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</si>
  <si>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</si>
  <si>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</si>
  <si>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</si>
  <si>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</si>
  <si>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</si>
  <si>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</si>
  <si>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</si>
  <si>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</si>
  <si>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Celular</t>
  </si>
  <si>
    <t>DD/MM/AAAA</t>
  </si>
  <si>
    <t>Guardado</t>
  </si>
  <si>
    <t>Mes anterior</t>
  </si>
  <si>
    <t>Monopatin</t>
  </si>
  <si>
    <t>Gimnasio</t>
  </si>
  <si>
    <t>Call of duty</t>
  </si>
  <si>
    <t>Total</t>
  </si>
  <si>
    <t>Compras</t>
  </si>
  <si>
    <t xml:space="preserve">Disponible actualmente </t>
  </si>
  <si>
    <t>NOTAS</t>
  </si>
  <si>
    <t>Cosas</t>
  </si>
  <si>
    <t>Costo</t>
  </si>
  <si>
    <t xml:space="preserve">Fecha de pago </t>
  </si>
  <si>
    <t>Estado</t>
  </si>
  <si>
    <t xml:space="preserve">Saldo </t>
  </si>
  <si>
    <t>3/6 cuota del monopatin</t>
  </si>
  <si>
    <t>Bananas</t>
  </si>
  <si>
    <t>Pagado</t>
  </si>
  <si>
    <t>cuadernolas</t>
  </si>
  <si>
    <t>Retire 2000 para pagar el gym y 500 fueron a la billetera</t>
  </si>
  <si>
    <t xml:space="preserve">zandwiches </t>
  </si>
  <si>
    <t>novemina max</t>
  </si>
  <si>
    <t xml:space="preserve">Este mes no pague el celular </t>
  </si>
  <si>
    <t>pan</t>
  </si>
  <si>
    <t>banana</t>
  </si>
  <si>
    <t>Desodorante</t>
  </si>
  <si>
    <t>helado</t>
  </si>
  <si>
    <t>bananas</t>
  </si>
  <si>
    <t xml:space="preserve">salida a comer </t>
  </si>
  <si>
    <t xml:space="preserve">cafetera </t>
  </si>
  <si>
    <t>Resumen</t>
  </si>
  <si>
    <t xml:space="preserve">Total gastos </t>
  </si>
  <si>
    <t>Total ahorros</t>
  </si>
  <si>
    <t>Billetera</t>
  </si>
  <si>
    <t xml:space="preserve">Disponible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</si>
</sst>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/m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4" fontId="2" numFmtId="4" xfId="0" applyAlignment="1" applyFont="1" applyNumberFormat="1">
      <alignment readingOrder="0"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1" fillId="3" fontId="1" numFmtId="0" xfId="0" applyAlignment="1" applyBorder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5" numFmtId="0" xfId="0" applyBorder="1" applyFont="1"/>
    <xf borderId="4" fillId="0" fontId="2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6" fillId="0" fontId="2" numFmtId="0" xfId="0" applyAlignment="1" applyBorder="1" applyFont="1">
      <alignment vertical="bottom"/>
    </xf>
    <xf borderId="7" fillId="0" fontId="5" numFmtId="0" xfId="0" applyBorder="1" applyFont="1"/>
    <xf borderId="8" fillId="0" fontId="5" numFmtId="0" xfId="0" applyBorder="1" applyFont="1"/>
    <xf borderId="0" fillId="0" fontId="6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10" max="10" width="17.5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4816.0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6">
        <v>45748.0</v>
      </c>
      <c r="C3" s="2"/>
      <c r="D3" s="4" t="s">
        <v>9</v>
      </c>
      <c r="E3" s="5">
        <v>500.0</v>
      </c>
      <c r="F3" s="2" t="s">
        <v>10</v>
      </c>
      <c r="G3" s="2"/>
      <c r="H3" s="4" t="s">
        <v>11</v>
      </c>
      <c r="I3" s="7">
        <v>0.0</v>
      </c>
      <c r="J3" s="2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12</v>
      </c>
      <c r="B4" s="5">
        <v>3154.29</v>
      </c>
      <c r="C4" s="2"/>
      <c r="D4" s="4" t="s">
        <v>13</v>
      </c>
      <c r="E4" s="5">
        <v>1832.0</v>
      </c>
      <c r="F4" s="6">
        <v>45750.0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9"/>
      <c r="C5" s="9"/>
      <c r="D5" s="4" t="s">
        <v>14</v>
      </c>
      <c r="E5" s="5">
        <v>1500.0</v>
      </c>
      <c r="F5" s="6">
        <v>45749.0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9"/>
      <c r="C6" s="9"/>
      <c r="D6" s="10" t="s">
        <v>15</v>
      </c>
      <c r="E6" s="5">
        <v>621.05</v>
      </c>
      <c r="F6" s="6">
        <v>45750.0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9"/>
      <c r="C7" s="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/>
      <c r="B8" s="11"/>
      <c r="C8" s="9"/>
      <c r="D8" s="12" t="s">
        <v>16</v>
      </c>
      <c r="E8" s="13">
        <f>SUM(E4:E6)</f>
        <v>3953.05</v>
      </c>
      <c r="F8" s="1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17</v>
      </c>
      <c r="E12" s="2"/>
      <c r="F12" s="15" t="s">
        <v>18</v>
      </c>
      <c r="H12" s="2"/>
      <c r="I12" s="16" t="s">
        <v>19</v>
      </c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20</v>
      </c>
      <c r="B13" s="4" t="s">
        <v>21</v>
      </c>
      <c r="C13" s="4" t="s">
        <v>22</v>
      </c>
      <c r="D13" s="4" t="s">
        <v>23</v>
      </c>
      <c r="E13" s="2"/>
      <c r="F13" s="19" t="s">
        <v>24</v>
      </c>
      <c r="G13" s="20">
        <f>SUM(B2+B4-B36-E8-B42)</f>
        <v>2312.41</v>
      </c>
      <c r="I13" s="21" t="s">
        <v>25</v>
      </c>
      <c r="K13" s="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26</v>
      </c>
      <c r="B14" s="5">
        <v>50.16</v>
      </c>
      <c r="C14" s="6">
        <v>45748.0</v>
      </c>
      <c r="D14" s="19" t="s">
        <v>27</v>
      </c>
      <c r="E14" s="2"/>
      <c r="F14" s="2"/>
      <c r="G14" s="2"/>
      <c r="I14" s="23"/>
      <c r="K14" s="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28</v>
      </c>
      <c r="B15" s="5">
        <v>245.0</v>
      </c>
      <c r="C15" s="6">
        <v>45750.0</v>
      </c>
      <c r="D15" s="19" t="s">
        <v>27</v>
      </c>
      <c r="E15" s="2"/>
      <c r="F15" s="2"/>
      <c r="G15" s="2"/>
      <c r="I15" s="21" t="s">
        <v>29</v>
      </c>
      <c r="K15" s="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30</v>
      </c>
      <c r="B16" s="5">
        <v>191.8</v>
      </c>
      <c r="C16" s="6">
        <v>45751.0</v>
      </c>
      <c r="D16" s="19" t="s">
        <v>27</v>
      </c>
      <c r="E16" s="2"/>
      <c r="F16" s="2"/>
      <c r="G16" s="2"/>
      <c r="I16" s="23"/>
      <c r="K16" s="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31</v>
      </c>
      <c r="B17" s="5">
        <v>112.13</v>
      </c>
      <c r="C17" s="6">
        <v>45751.0</v>
      </c>
      <c r="D17" s="19" t="s">
        <v>27</v>
      </c>
      <c r="E17" s="2"/>
      <c r="F17" s="2"/>
      <c r="G17" s="2"/>
      <c r="I17" s="21" t="s">
        <v>32</v>
      </c>
      <c r="K17" s="2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33</v>
      </c>
      <c r="B18" s="5">
        <v>93.28</v>
      </c>
      <c r="C18" s="6">
        <v>45755.0</v>
      </c>
      <c r="D18" s="19" t="s">
        <v>27</v>
      </c>
      <c r="E18" s="2"/>
      <c r="F18" s="2"/>
      <c r="G18" s="2"/>
      <c r="I18" s="23"/>
      <c r="K18" s="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34</v>
      </c>
      <c r="B19" s="5">
        <v>96.39</v>
      </c>
      <c r="C19" s="6">
        <v>45756.0</v>
      </c>
      <c r="D19" s="19" t="s">
        <v>27</v>
      </c>
      <c r="E19" s="2"/>
      <c r="F19" s="2"/>
      <c r="G19" s="2"/>
      <c r="I19" s="23"/>
      <c r="K19" s="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4" t="s">
        <v>35</v>
      </c>
      <c r="B20" s="5">
        <v>226.23</v>
      </c>
      <c r="C20" s="6">
        <v>45760.0</v>
      </c>
      <c r="D20" s="19" t="s">
        <v>27</v>
      </c>
      <c r="E20" s="2"/>
      <c r="F20" s="2"/>
      <c r="G20" s="2"/>
      <c r="I20" s="25"/>
      <c r="J20" s="26"/>
      <c r="K20" s="2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4" t="s">
        <v>36</v>
      </c>
      <c r="B21" s="5">
        <v>137.71</v>
      </c>
      <c r="C21" s="6">
        <v>45766.0</v>
      </c>
      <c r="D21" s="19" t="s">
        <v>27</v>
      </c>
      <c r="E21" s="2"/>
      <c r="F21" s="2"/>
      <c r="G21" s="1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4" t="s">
        <v>37</v>
      </c>
      <c r="B22" s="5">
        <v>52.13</v>
      </c>
      <c r="C22" s="6">
        <v>45770.0</v>
      </c>
      <c r="D22" s="19" t="s">
        <v>27</v>
      </c>
      <c r="E22" s="2"/>
      <c r="F22" s="2"/>
      <c r="G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7">
        <v>0.0</v>
      </c>
      <c r="C23" s="2" t="s">
        <v>10</v>
      </c>
      <c r="D23" s="2"/>
      <c r="E23" s="2"/>
      <c r="F23" s="2"/>
      <c r="G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7">
        <v>0.0</v>
      </c>
      <c r="C24" s="2" t="s">
        <v>10</v>
      </c>
      <c r="D24" s="2"/>
      <c r="E24" s="2"/>
      <c r="F24" s="2"/>
      <c r="G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7">
        <v>0.0</v>
      </c>
      <c r="C25" s="2" t="s">
        <v>10</v>
      </c>
      <c r="D25" s="2"/>
      <c r="E25" s="2"/>
      <c r="F25" s="2"/>
      <c r="G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7">
        <v>0.0</v>
      </c>
      <c r="C26" s="2" t="s">
        <v>10</v>
      </c>
      <c r="D26" s="2"/>
      <c r="E26" s="2"/>
      <c r="F26" s="2"/>
      <c r="G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7">
        <v>0.0</v>
      </c>
      <c r="C27" s="2" t="s">
        <v>10</v>
      </c>
      <c r="D27" s="2"/>
      <c r="E27" s="2"/>
      <c r="F27" s="2"/>
      <c r="G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7">
        <v>0.0</v>
      </c>
      <c r="C28" s="2" t="s">
        <v>10</v>
      </c>
      <c r="D28" s="2"/>
      <c r="E28" s="2"/>
      <c r="F28" s="2"/>
      <c r="G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7">
        <v>0.0</v>
      </c>
      <c r="C29" s="2" t="s">
        <v>10</v>
      </c>
      <c r="D29" s="2"/>
      <c r="E29" s="2"/>
      <c r="F29" s="2"/>
      <c r="G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7">
        <v>0.0</v>
      </c>
      <c r="C30" s="2" t="s">
        <v>10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7">
        <v>0.0</v>
      </c>
      <c r="C31" s="2" t="s">
        <v>10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4" t="s">
        <v>38</v>
      </c>
      <c r="B34" s="5">
        <v>1500.0</v>
      </c>
      <c r="C34" s="6">
        <v>45759.0</v>
      </c>
      <c r="D34" s="19" t="s">
        <v>27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4" t="s">
        <v>39</v>
      </c>
      <c r="B35" s="5">
        <v>3790.0</v>
      </c>
      <c r="C35" s="28">
        <v>45775.0</v>
      </c>
      <c r="D35" s="19" t="s">
        <v>27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 t="s">
        <v>16</v>
      </c>
      <c r="B36" s="13">
        <f>SUM(B14:B31)</f>
        <v>1204.83</v>
      </c>
      <c r="C36" s="1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40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41</v>
      </c>
      <c r="B40" s="7">
        <f>SUM(B36+E8)</f>
        <v>5157.88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42</v>
      </c>
      <c r="B41" s="5">
        <f>SUM(5310-B34-B35)</f>
        <v>20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 t="s">
        <v>43</v>
      </c>
      <c r="B42" s="5">
        <v>500.0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44</v>
      </c>
      <c r="B43" s="7">
        <f>(B2+B4-E8-B36+B42+B41)</f>
        <v>3332.41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I14:K14"/>
    <mergeCell ref="I15:K15"/>
    <mergeCell ref="I16:K16"/>
    <mergeCell ref="I17:K17"/>
    <mergeCell ref="I18:K18"/>
    <mergeCell ref="I19:K19"/>
    <mergeCell ref="I20:K20"/>
    <mergeCell ref="A39:B39"/>
    <mergeCell ref="A1:B1"/>
    <mergeCell ref="D1:F1"/>
    <mergeCell ref="H1:J1"/>
    <mergeCell ref="A12:D12"/>
    <mergeCell ref="F12:G12"/>
    <mergeCell ref="I12:K12"/>
    <mergeCell ref="I13:K13"/>
  </mergeCells>
  <dataValidations>
    <dataValidation type="list" allowBlank="1" showErrorMessage="1" sqref="D14:D31 D34:D35">
      <formula1>"Pendiente,Pagado"</formula1>
    </dataValidation>
  </dataValidations>
  <drawing r:id="rId1"/>
</worksheet>
</file>